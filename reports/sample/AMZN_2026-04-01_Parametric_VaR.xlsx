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 and ES" sheetId="1" state="visible" r:id="rId1"/>
    <sheet name="Stressed VaR and 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966"/>
        <bgColor rgb="00FFD966"/>
      </patternFill>
    </fill>
    <fill>
      <patternFill patternType="solid">
        <fgColor rgb="00F6C96C"/>
        <bgColor rgb="00F6C9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0" borderId="1" pivotButton="0" quotePrefix="0" xfId="0"/>
    <xf numFmtId="164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Log Return</t>
        </is>
      </c>
      <c r="D1" s="2" t="inlineStr">
        <is>
          <t>Sorted Return</t>
        </is>
      </c>
    </row>
    <row r="2">
      <c r="A2" t="inlineStr">
        <is>
          <t>2025-03-28</t>
        </is>
      </c>
      <c r="B2" s="3" t="n">
        <v>192.7200012207031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2025-03-31</t>
        </is>
      </c>
      <c r="B3" s="3" t="n">
        <v>190.2599945068359</v>
      </c>
      <c r="C3" s="4">
        <f>LN(B3/B2)</f>
        <v/>
      </c>
      <c r="D3" s="4">
        <f>SMALL(C$3:C$254, ROW()-2)</f>
        <v/>
      </c>
      <c r="G3" s="5" t="inlineStr">
        <is>
          <t>Method</t>
        </is>
      </c>
      <c r="H3" s="6" t="inlineStr">
        <is>
          <t>Parametric</t>
        </is>
      </c>
    </row>
    <row r="4">
      <c r="A4" t="inlineStr">
        <is>
          <t>2025-04-01</t>
        </is>
      </c>
      <c r="B4" s="3" t="n">
        <v>192.1699981689453</v>
      </c>
      <c r="C4" s="4">
        <f>LN(B4/B3)</f>
        <v/>
      </c>
      <c r="D4" s="7">
        <f>SMALL(C$3:C$254, ROW()-2)</f>
        <v/>
      </c>
      <c r="G4" s="5" t="inlineStr">
        <is>
          <t>Ticker</t>
        </is>
      </c>
      <c r="H4" s="6" t="inlineStr">
        <is>
          <t>AMZN</t>
        </is>
      </c>
    </row>
    <row r="5">
      <c r="A5" t="inlineStr">
        <is>
          <t>2025-04-02</t>
        </is>
      </c>
      <c r="B5" s="3" t="n">
        <v>196.0099945068359</v>
      </c>
      <c r="C5" s="4">
        <f>LN(B5/B4)</f>
        <v/>
      </c>
      <c r="D5" s="7">
        <f>SMALL(C$3:C$254,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2025-04-03</t>
        </is>
      </c>
      <c r="B6" s="3" t="n">
        <v>178.4100036621094</v>
      </c>
      <c r="C6" s="4">
        <f>LN(B6/B5)</f>
        <v/>
      </c>
      <c r="D6" s="4">
        <f>SMALL(C$3:C$254,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2025-04-04</t>
        </is>
      </c>
      <c r="B7" s="3" t="n">
        <v>171</v>
      </c>
      <c r="C7" s="4">
        <f>LN(B7/B6)</f>
        <v/>
      </c>
      <c r="D7" s="4">
        <f>SMALL(C$3:C$254,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2025-04-07</t>
        </is>
      </c>
      <c r="B8" s="3" t="n">
        <v>175.2599945068359</v>
      </c>
      <c r="C8" s="4">
        <f>LN(B8/B7)</f>
        <v/>
      </c>
      <c r="D8" s="4">
        <f>SMALL(C$3:C$254, ROW()-2)</f>
        <v/>
      </c>
      <c r="G8" s="5" t="inlineStr">
        <is>
          <t>Return Observations</t>
        </is>
      </c>
      <c r="H8" s="6" t="n">
        <v>252</v>
      </c>
    </row>
    <row r="9">
      <c r="A9" t="inlineStr">
        <is>
          <t>2025-04-08</t>
        </is>
      </c>
      <c r="B9" s="3" t="n">
        <v>170.6600036621094</v>
      </c>
      <c r="C9" s="4">
        <f>LN(B9/B8)</f>
        <v/>
      </c>
      <c r="D9" s="4">
        <f>SMALL(C$3:C$254, ROW()-2)</f>
        <v/>
      </c>
    </row>
    <row r="10">
      <c r="A10" t="inlineStr">
        <is>
          <t>2025-04-09</t>
        </is>
      </c>
      <c r="B10" s="3" t="n">
        <v>191.1000061035156</v>
      </c>
      <c r="C10" s="4">
        <f>LN(B10/B9)</f>
        <v/>
      </c>
      <c r="D10" s="4">
        <f>SMALL(C$3:C$254, ROW()-2)</f>
        <v/>
      </c>
      <c r="G10" s="1" t="inlineStr">
        <is>
          <t>Standard Risk Summary</t>
        </is>
      </c>
      <c r="H10" s="2" t="inlineStr">
        <is>
          <t>99% VaR ($)</t>
        </is>
      </c>
      <c r="I10" s="2" t="inlineStr">
        <is>
          <t>97.5% ES ($)</t>
        </is>
      </c>
    </row>
    <row r="11">
      <c r="A11" t="inlineStr">
        <is>
          <t>2025-04-10</t>
        </is>
      </c>
      <c r="B11" s="3" t="n">
        <v>181.2200012207031</v>
      </c>
      <c r="C11" s="4">
        <f>LN(B11/B10)</f>
        <v/>
      </c>
      <c r="D11" s="4">
        <f>SMALL(C$3:C$254, ROW()-2)</f>
        <v/>
      </c>
      <c r="G11" s="5" t="inlineStr">
        <is>
          <t>1-Day</t>
        </is>
      </c>
      <c r="H11" s="8">
        <f>-$H$6*(AVERAGE(C$3:C$254)-_xlfn.NORM.S.INV(0.99)*_xlfn.STDEV.S(C$3:C$254))</f>
        <v/>
      </c>
      <c r="I11" s="8">
        <f>-$H$6*(AVERAGE(C$3:C$254)-_xlfn.STDEV.S(C$3:C$254)*_xlfn.NORM.DIST(_xlfn.NORM.S.INV(0.975),0,1,FALSE)/0.025)</f>
        <v/>
      </c>
    </row>
    <row r="12">
      <c r="A12" t="inlineStr">
        <is>
          <t>2025-04-11</t>
        </is>
      </c>
      <c r="B12" s="3" t="n">
        <v>184.8699951171875</v>
      </c>
      <c r="C12" s="4">
        <f>LN(B12/B11)</f>
        <v/>
      </c>
      <c r="D12" s="4">
        <f>SMALL(C$3:C$254, ROW()-2)</f>
        <v/>
      </c>
      <c r="G12" s="5" t="inlineStr">
        <is>
          <t>10-Day Scaled</t>
        </is>
      </c>
      <c r="H12" s="8">
        <f>H11 * SQRT(10)</f>
        <v/>
      </c>
      <c r="I12" s="8">
        <f>I11 * SQRT(10)</f>
        <v/>
      </c>
    </row>
    <row r="13">
      <c r="A13" t="inlineStr">
        <is>
          <t>2025-04-14</t>
        </is>
      </c>
      <c r="B13" s="3" t="n">
        <v>182.1199951171875</v>
      </c>
      <c r="C13" s="4">
        <f>LN(B13/B12)</f>
        <v/>
      </c>
      <c r="D13" s="4">
        <f>SMALL(C$3:C$254, ROW()-2)</f>
        <v/>
      </c>
    </row>
    <row r="14">
      <c r="A14" t="inlineStr">
        <is>
          <t>2025-04-15</t>
        </is>
      </c>
      <c r="B14" s="3" t="n">
        <v>179.5899963378906</v>
      </c>
      <c r="C14" s="4">
        <f>LN(B14/B13)</f>
        <v/>
      </c>
      <c r="D14" s="9">
        <f>SMALL(C$3:C$254, ROW()-2)</f>
        <v/>
      </c>
    </row>
    <row r="15">
      <c r="A15" t="inlineStr">
        <is>
          <t>2025-04-16</t>
        </is>
      </c>
      <c r="B15" s="3" t="n">
        <v>174.3300018310547</v>
      </c>
      <c r="C15" s="4">
        <f>LN(B15/B14)</f>
        <v/>
      </c>
      <c r="D15" s="9">
        <f>SMALL(C$3:C$254, ROW()-2)</f>
        <v/>
      </c>
    </row>
    <row r="16">
      <c r="A16" t="inlineStr">
        <is>
          <t>2025-04-17</t>
        </is>
      </c>
      <c r="B16" s="3" t="n">
        <v>172.6100006103516</v>
      </c>
      <c r="C16" s="4">
        <f>LN(B16/B15)</f>
        <v/>
      </c>
      <c r="D16" s="4">
        <f>SMALL(C$3:C$254, ROW()-2)</f>
        <v/>
      </c>
    </row>
    <row r="17">
      <c r="A17" t="inlineStr">
        <is>
          <t>2025-04-21</t>
        </is>
      </c>
      <c r="B17" s="3" t="n">
        <v>167.3200073242188</v>
      </c>
      <c r="C17" s="4">
        <f>LN(B17/B16)</f>
        <v/>
      </c>
      <c r="D17" s="4">
        <f>SMALL(C$3:C$254, ROW()-2)</f>
        <v/>
      </c>
    </row>
    <row r="18">
      <c r="A18" t="inlineStr">
        <is>
          <t>2025-04-22</t>
        </is>
      </c>
      <c r="B18" s="3" t="n">
        <v>173.1799926757812</v>
      </c>
      <c r="C18" s="4">
        <f>LN(B18/B17)</f>
        <v/>
      </c>
      <c r="D18" s="4">
        <f>SMALL(C$3:C$254, ROW()-2)</f>
        <v/>
      </c>
    </row>
    <row r="19">
      <c r="A19" t="inlineStr">
        <is>
          <t>2025-04-23</t>
        </is>
      </c>
      <c r="B19" s="3" t="n">
        <v>180.6000061035156</v>
      </c>
      <c r="C19" s="4">
        <f>LN(B19/B18)</f>
        <v/>
      </c>
      <c r="D19" s="4">
        <f>SMALL(C$3:C$254, ROW()-2)</f>
        <v/>
      </c>
    </row>
    <row r="20">
      <c r="A20" t="inlineStr">
        <is>
          <t>2025-04-24</t>
        </is>
      </c>
      <c r="B20" s="3" t="n">
        <v>186.5399932861328</v>
      </c>
      <c r="C20" s="4">
        <f>LN(B20/B19)</f>
        <v/>
      </c>
      <c r="D20" s="4">
        <f>SMALL(C$3:C$254, ROW()-2)</f>
        <v/>
      </c>
    </row>
    <row r="21">
      <c r="A21" t="inlineStr">
        <is>
          <t>2025-04-25</t>
        </is>
      </c>
      <c r="B21" s="3" t="n">
        <v>188.9900054931641</v>
      </c>
      <c r="C21" s="4">
        <f>LN(B21/B20)</f>
        <v/>
      </c>
      <c r="D21" s="4">
        <f>SMALL(C$3:C$254, ROW()-2)</f>
        <v/>
      </c>
    </row>
    <row r="22">
      <c r="A22" t="inlineStr">
        <is>
          <t>2025-04-28</t>
        </is>
      </c>
      <c r="B22" s="3" t="n">
        <v>187.6999969482422</v>
      </c>
      <c r="C22" s="4">
        <f>LN(B22/B21)</f>
        <v/>
      </c>
      <c r="D22" s="4">
        <f>SMALL(C$3:C$254, ROW()-2)</f>
        <v/>
      </c>
    </row>
    <row r="23">
      <c r="A23" t="inlineStr">
        <is>
          <t>2025-04-29</t>
        </is>
      </c>
      <c r="B23" s="3" t="n">
        <v>187.3899993896484</v>
      </c>
      <c r="C23" s="4">
        <f>LN(B23/B22)</f>
        <v/>
      </c>
      <c r="D23" s="4">
        <f>SMALL(C$3:C$254, ROW()-2)</f>
        <v/>
      </c>
    </row>
    <row r="24">
      <c r="A24" t="inlineStr">
        <is>
          <t>2025-04-30</t>
        </is>
      </c>
      <c r="B24" s="3" t="n">
        <v>184.4199981689453</v>
      </c>
      <c r="C24" s="4">
        <f>LN(B24/B23)</f>
        <v/>
      </c>
      <c r="D24" s="4">
        <f>SMALL(C$3:C$254, ROW()-2)</f>
        <v/>
      </c>
    </row>
    <row r="25">
      <c r="A25" t="inlineStr">
        <is>
          <t>2025-05-01</t>
        </is>
      </c>
      <c r="B25" s="3" t="n">
        <v>190.1999969482422</v>
      </c>
      <c r="C25" s="4">
        <f>LN(B25/B24)</f>
        <v/>
      </c>
      <c r="D25" s="4">
        <f>SMALL(C$3:C$254, ROW()-2)</f>
        <v/>
      </c>
    </row>
    <row r="26">
      <c r="A26" t="inlineStr">
        <is>
          <t>2025-05-02</t>
        </is>
      </c>
      <c r="B26" s="3" t="n">
        <v>189.9799957275391</v>
      </c>
      <c r="C26" s="4">
        <f>LN(B26/B25)</f>
        <v/>
      </c>
      <c r="D26" s="4">
        <f>SMALL(C$3:C$254, ROW()-2)</f>
        <v/>
      </c>
    </row>
    <row r="27">
      <c r="A27" t="inlineStr">
        <is>
          <t>2025-05-05</t>
        </is>
      </c>
      <c r="B27" s="3" t="n">
        <v>186.3500061035156</v>
      </c>
      <c r="C27" s="4">
        <f>LN(B27/B26)</f>
        <v/>
      </c>
      <c r="D27" s="4">
        <f>SMALL(C$3:C$254, ROW()-2)</f>
        <v/>
      </c>
    </row>
    <row r="28">
      <c r="A28" t="inlineStr">
        <is>
          <t>2025-05-06</t>
        </is>
      </c>
      <c r="B28" s="3" t="n">
        <v>185.0099945068359</v>
      </c>
      <c r="C28" s="4">
        <f>LN(B28/B27)</f>
        <v/>
      </c>
      <c r="D28" s="4">
        <f>SMALL(C$3:C$254, ROW()-2)</f>
        <v/>
      </c>
    </row>
    <row r="29">
      <c r="A29" t="inlineStr">
        <is>
          <t>2025-05-07</t>
        </is>
      </c>
      <c r="B29" s="3" t="n">
        <v>188.7100067138672</v>
      </c>
      <c r="C29" s="4">
        <f>LN(B29/B28)</f>
        <v/>
      </c>
      <c r="D29" s="4">
        <f>SMALL(C$3:C$254, ROW()-2)</f>
        <v/>
      </c>
    </row>
    <row r="30">
      <c r="A30" t="inlineStr">
        <is>
          <t>2025-05-08</t>
        </is>
      </c>
      <c r="B30" s="3" t="n">
        <v>192.0800018310547</v>
      </c>
      <c r="C30" s="4">
        <f>LN(B30/B29)</f>
        <v/>
      </c>
      <c r="D30" s="4">
        <f>SMALL(C$3:C$254, ROW()-2)</f>
        <v/>
      </c>
    </row>
    <row r="31">
      <c r="A31" t="inlineStr">
        <is>
          <t>2025-05-09</t>
        </is>
      </c>
      <c r="B31" s="3" t="n">
        <v>193.0599975585938</v>
      </c>
      <c r="C31" s="4">
        <f>LN(B31/B30)</f>
        <v/>
      </c>
      <c r="D31" s="4">
        <f>SMALL(C$3:C$254, ROW()-2)</f>
        <v/>
      </c>
    </row>
    <row r="32">
      <c r="A32" t="inlineStr">
        <is>
          <t>2025-05-12</t>
        </is>
      </c>
      <c r="B32" s="3" t="n">
        <v>208.6399993896484</v>
      </c>
      <c r="C32" s="4">
        <f>LN(B32/B31)</f>
        <v/>
      </c>
      <c r="D32" s="4">
        <f>SMALL(C$3:C$254, ROW()-2)</f>
        <v/>
      </c>
    </row>
    <row r="33">
      <c r="A33" t="inlineStr">
        <is>
          <t>2025-05-13</t>
        </is>
      </c>
      <c r="B33" s="3" t="n">
        <v>211.3699951171875</v>
      </c>
      <c r="C33" s="4">
        <f>LN(B33/B32)</f>
        <v/>
      </c>
      <c r="D33" s="4">
        <f>SMALL(C$3:C$254, ROW()-2)</f>
        <v/>
      </c>
    </row>
    <row r="34">
      <c r="A34" t="inlineStr">
        <is>
          <t>2025-05-14</t>
        </is>
      </c>
      <c r="B34" s="3" t="n">
        <v>210.25</v>
      </c>
      <c r="C34" s="4">
        <f>LN(B34/B33)</f>
        <v/>
      </c>
      <c r="D34" s="4">
        <f>SMALL(C$3:C$254, ROW()-2)</f>
        <v/>
      </c>
    </row>
    <row r="35">
      <c r="A35" t="inlineStr">
        <is>
          <t>2025-05-15</t>
        </is>
      </c>
      <c r="B35" s="3" t="n">
        <v>205.1699981689453</v>
      </c>
      <c r="C35" s="4">
        <f>LN(B35/B34)</f>
        <v/>
      </c>
      <c r="D35" s="4">
        <f>SMALL(C$3:C$254, ROW()-2)</f>
        <v/>
      </c>
    </row>
    <row r="36">
      <c r="A36" t="inlineStr">
        <is>
          <t>2025-05-16</t>
        </is>
      </c>
      <c r="B36" s="3" t="n">
        <v>205.5899963378906</v>
      </c>
      <c r="C36" s="4">
        <f>LN(B36/B35)</f>
        <v/>
      </c>
      <c r="D36" s="4">
        <f>SMALL(C$3:C$254, ROW()-2)</f>
        <v/>
      </c>
    </row>
    <row r="37">
      <c r="A37" t="inlineStr">
        <is>
          <t>2025-05-19</t>
        </is>
      </c>
      <c r="B37" s="3" t="n">
        <v>206.1600036621094</v>
      </c>
      <c r="C37" s="4">
        <f>LN(B37/B36)</f>
        <v/>
      </c>
      <c r="D37" s="4">
        <f>SMALL(C$3:C$254, ROW()-2)</f>
        <v/>
      </c>
    </row>
    <row r="38">
      <c r="A38" t="inlineStr">
        <is>
          <t>2025-05-20</t>
        </is>
      </c>
      <c r="B38" s="3" t="n">
        <v>204.0700073242188</v>
      </c>
      <c r="C38" s="4">
        <f>LN(B38/B37)</f>
        <v/>
      </c>
      <c r="D38" s="4">
        <f>SMALL(C$3:C$254, ROW()-2)</f>
        <v/>
      </c>
    </row>
    <row r="39">
      <c r="A39" t="inlineStr">
        <is>
          <t>2025-05-21</t>
        </is>
      </c>
      <c r="B39" s="3" t="n">
        <v>201.1199951171875</v>
      </c>
      <c r="C39" s="4">
        <f>LN(B39/B38)</f>
        <v/>
      </c>
      <c r="D39" s="4">
        <f>SMALL(C$3:C$254, ROW()-2)</f>
        <v/>
      </c>
    </row>
    <row r="40">
      <c r="A40" t="inlineStr">
        <is>
          <t>2025-05-22</t>
        </is>
      </c>
      <c r="B40" s="3" t="n">
        <v>203.1000061035156</v>
      </c>
      <c r="C40" s="4">
        <f>LN(B40/B39)</f>
        <v/>
      </c>
      <c r="D40" s="4">
        <f>SMALL(C$3:C$254, ROW()-2)</f>
        <v/>
      </c>
    </row>
    <row r="41">
      <c r="A41" t="inlineStr">
        <is>
          <t>2025-05-23</t>
        </is>
      </c>
      <c r="B41" s="3" t="n">
        <v>200.9900054931641</v>
      </c>
      <c r="C41" s="4">
        <f>LN(B41/B40)</f>
        <v/>
      </c>
      <c r="D41" s="4">
        <f>SMALL(C$3:C$254, ROW()-2)</f>
        <v/>
      </c>
    </row>
    <row r="42">
      <c r="A42" t="inlineStr">
        <is>
          <t>2025-05-27</t>
        </is>
      </c>
      <c r="B42" s="3" t="n">
        <v>206.0200042724609</v>
      </c>
      <c r="C42" s="4">
        <f>LN(B42/B41)</f>
        <v/>
      </c>
      <c r="D42" s="4">
        <f>SMALL(C$3:C$254, ROW()-2)</f>
        <v/>
      </c>
    </row>
    <row r="43">
      <c r="A43" t="inlineStr">
        <is>
          <t>2025-05-28</t>
        </is>
      </c>
      <c r="B43" s="3" t="n">
        <v>204.7200012207031</v>
      </c>
      <c r="C43" s="4">
        <f>LN(B43/B42)</f>
        <v/>
      </c>
      <c r="D43" s="4">
        <f>SMALL(C$3:C$254, ROW()-2)</f>
        <v/>
      </c>
    </row>
    <row r="44">
      <c r="A44" t="inlineStr">
        <is>
          <t>2025-05-29</t>
        </is>
      </c>
      <c r="B44" s="3" t="n">
        <v>205.6999969482422</v>
      </c>
      <c r="C44" s="4">
        <f>LN(B44/B43)</f>
        <v/>
      </c>
      <c r="D44" s="4">
        <f>SMALL(C$3:C$254, ROW()-2)</f>
        <v/>
      </c>
    </row>
    <row r="45">
      <c r="A45" t="inlineStr">
        <is>
          <t>2025-05-30</t>
        </is>
      </c>
      <c r="B45" s="3" t="n">
        <v>205.0099945068359</v>
      </c>
      <c r="C45" s="4">
        <f>LN(B45/B44)</f>
        <v/>
      </c>
      <c r="D45" s="4">
        <f>SMALL(C$3:C$254, ROW()-2)</f>
        <v/>
      </c>
    </row>
    <row r="46">
      <c r="A46" t="inlineStr">
        <is>
          <t>2025-06-02</t>
        </is>
      </c>
      <c r="B46" s="3" t="n">
        <v>206.6499938964844</v>
      </c>
      <c r="C46" s="4">
        <f>LN(B46/B45)</f>
        <v/>
      </c>
      <c r="D46" s="4">
        <f>SMALL(C$3:C$254, ROW()-2)</f>
        <v/>
      </c>
    </row>
    <row r="47">
      <c r="A47" t="inlineStr">
        <is>
          <t>2025-06-03</t>
        </is>
      </c>
      <c r="B47" s="3" t="n">
        <v>205.7100067138672</v>
      </c>
      <c r="C47" s="4">
        <f>LN(B47/B46)</f>
        <v/>
      </c>
      <c r="D47" s="4">
        <f>SMALL(C$3:C$254, ROW()-2)</f>
        <v/>
      </c>
    </row>
    <row r="48">
      <c r="A48" t="inlineStr">
        <is>
          <t>2025-06-04</t>
        </is>
      </c>
      <c r="B48" s="3" t="n">
        <v>207.2299957275391</v>
      </c>
      <c r="C48" s="4">
        <f>LN(B48/B47)</f>
        <v/>
      </c>
      <c r="D48" s="4">
        <f>SMALL(C$3:C$254, ROW()-2)</f>
        <v/>
      </c>
    </row>
    <row r="49">
      <c r="A49" t="inlineStr">
        <is>
          <t>2025-06-05</t>
        </is>
      </c>
      <c r="B49" s="3" t="n">
        <v>207.9100036621094</v>
      </c>
      <c r="C49" s="4">
        <f>LN(B49/B48)</f>
        <v/>
      </c>
      <c r="D49" s="4">
        <f>SMALL(C$3:C$254, ROW()-2)</f>
        <v/>
      </c>
    </row>
    <row r="50">
      <c r="A50" t="inlineStr">
        <is>
          <t>2025-06-06</t>
        </is>
      </c>
      <c r="B50" s="3" t="n">
        <v>213.5700073242188</v>
      </c>
      <c r="C50" s="4">
        <f>LN(B50/B49)</f>
        <v/>
      </c>
      <c r="D50" s="4">
        <f>SMALL(C$3:C$254, ROW()-2)</f>
        <v/>
      </c>
    </row>
    <row r="51">
      <c r="A51" t="inlineStr">
        <is>
          <t>2025-06-09</t>
        </is>
      </c>
      <c r="B51" s="3" t="n">
        <v>216.9799957275391</v>
      </c>
      <c r="C51" s="4">
        <f>LN(B51/B50)</f>
        <v/>
      </c>
      <c r="D51" s="4">
        <f>SMALL(C$3:C$254, ROW()-2)</f>
        <v/>
      </c>
    </row>
    <row r="52">
      <c r="A52" t="inlineStr">
        <is>
          <t>2025-06-10</t>
        </is>
      </c>
      <c r="B52" s="3" t="n">
        <v>217.6100006103516</v>
      </c>
      <c r="C52" s="4">
        <f>LN(B52/B51)</f>
        <v/>
      </c>
      <c r="D52" s="4">
        <f>SMALL(C$3:C$254, ROW()-2)</f>
        <v/>
      </c>
    </row>
    <row r="53">
      <c r="A53" t="inlineStr">
        <is>
          <t>2025-06-11</t>
        </is>
      </c>
      <c r="B53" s="3" t="n">
        <v>213.1999969482422</v>
      </c>
      <c r="C53" s="4">
        <f>LN(B53/B52)</f>
        <v/>
      </c>
      <c r="D53" s="4">
        <f>SMALL(C$3:C$254, ROW()-2)</f>
        <v/>
      </c>
    </row>
    <row r="54">
      <c r="A54" t="inlineStr">
        <is>
          <t>2025-06-12</t>
        </is>
      </c>
      <c r="B54" s="3" t="n">
        <v>213.2400054931641</v>
      </c>
      <c r="C54" s="4">
        <f>LN(B54/B53)</f>
        <v/>
      </c>
      <c r="D54" s="4">
        <f>SMALL(C$3:C$254, ROW()-2)</f>
        <v/>
      </c>
    </row>
    <row r="55">
      <c r="A55" t="inlineStr">
        <is>
          <t>2025-06-13</t>
        </is>
      </c>
      <c r="B55" s="3" t="n">
        <v>212.1000061035156</v>
      </c>
      <c r="C55" s="4">
        <f>LN(B55/B54)</f>
        <v/>
      </c>
      <c r="D55" s="4">
        <f>SMALL(C$3:C$254, ROW()-2)</f>
        <v/>
      </c>
    </row>
    <row r="56">
      <c r="A56" t="inlineStr">
        <is>
          <t>2025-06-16</t>
        </is>
      </c>
      <c r="B56" s="3" t="n">
        <v>216.1000061035156</v>
      </c>
      <c r="C56" s="4">
        <f>LN(B56/B55)</f>
        <v/>
      </c>
      <c r="D56" s="4">
        <f>SMALL(C$3:C$254, ROW()-2)</f>
        <v/>
      </c>
    </row>
    <row r="57">
      <c r="A57" t="inlineStr">
        <is>
          <t>2025-06-17</t>
        </is>
      </c>
      <c r="B57" s="3" t="n">
        <v>214.8200073242188</v>
      </c>
      <c r="C57" s="4">
        <f>LN(B57/B56)</f>
        <v/>
      </c>
      <c r="D57" s="4">
        <f>SMALL(C$3:C$254, ROW()-2)</f>
        <v/>
      </c>
    </row>
    <row r="58">
      <c r="A58" t="inlineStr">
        <is>
          <t>2025-06-18</t>
        </is>
      </c>
      <c r="B58" s="3" t="n">
        <v>212.5200042724609</v>
      </c>
      <c r="C58" s="4">
        <f>LN(B58/B57)</f>
        <v/>
      </c>
      <c r="D58" s="4">
        <f>SMALL(C$3:C$254, ROW()-2)</f>
        <v/>
      </c>
    </row>
    <row r="59">
      <c r="A59" t="inlineStr">
        <is>
          <t>2025-06-20</t>
        </is>
      </c>
      <c r="B59" s="3" t="n">
        <v>209.6900024414062</v>
      </c>
      <c r="C59" s="4">
        <f>LN(B59/B58)</f>
        <v/>
      </c>
      <c r="D59" s="4">
        <f>SMALL(C$3:C$254, ROW()-2)</f>
        <v/>
      </c>
    </row>
    <row r="60">
      <c r="A60" t="inlineStr">
        <is>
          <t>2025-06-23</t>
        </is>
      </c>
      <c r="B60" s="3" t="n">
        <v>208.4700012207031</v>
      </c>
      <c r="C60" s="4">
        <f>LN(B60/B59)</f>
        <v/>
      </c>
      <c r="D60" s="4">
        <f>SMALL(C$3:C$254, ROW()-2)</f>
        <v/>
      </c>
    </row>
    <row r="61">
      <c r="A61" t="inlineStr">
        <is>
          <t>2025-06-24</t>
        </is>
      </c>
      <c r="B61" s="3" t="n">
        <v>212.7700042724609</v>
      </c>
      <c r="C61" s="4">
        <f>LN(B61/B60)</f>
        <v/>
      </c>
      <c r="D61" s="4">
        <f>SMALL(C$3:C$254, ROW()-2)</f>
        <v/>
      </c>
    </row>
    <row r="62">
      <c r="A62" t="inlineStr">
        <is>
          <t>2025-06-25</t>
        </is>
      </c>
      <c r="B62" s="3" t="n">
        <v>211.9900054931641</v>
      </c>
      <c r="C62" s="4">
        <f>LN(B62/B61)</f>
        <v/>
      </c>
      <c r="D62" s="4">
        <f>SMALL(C$3:C$254, ROW()-2)</f>
        <v/>
      </c>
    </row>
    <row r="63">
      <c r="A63" t="inlineStr">
        <is>
          <t>2025-06-26</t>
        </is>
      </c>
      <c r="B63" s="3" t="n">
        <v>217.1199951171875</v>
      </c>
      <c r="C63" s="4">
        <f>LN(B63/B62)</f>
        <v/>
      </c>
      <c r="D63" s="4">
        <f>SMALL(C$3:C$254, ROW()-2)</f>
        <v/>
      </c>
    </row>
    <row r="64">
      <c r="A64" t="inlineStr">
        <is>
          <t>2025-06-27</t>
        </is>
      </c>
      <c r="B64" s="3" t="n">
        <v>223.3000030517578</v>
      </c>
      <c r="C64" s="4">
        <f>LN(B64/B63)</f>
        <v/>
      </c>
      <c r="D64" s="4">
        <f>SMALL(C$3:C$254, ROW()-2)</f>
        <v/>
      </c>
    </row>
    <row r="65">
      <c r="A65" t="inlineStr">
        <is>
          <t>2025-06-30</t>
        </is>
      </c>
      <c r="B65" s="3" t="n">
        <v>219.3899993896484</v>
      </c>
      <c r="C65" s="4">
        <f>LN(B65/B64)</f>
        <v/>
      </c>
      <c r="D65" s="4">
        <f>SMALL(C$3:C$254, ROW()-2)</f>
        <v/>
      </c>
    </row>
    <row r="66">
      <c r="A66" t="inlineStr">
        <is>
          <t>2025-07-01</t>
        </is>
      </c>
      <c r="B66" s="3" t="n">
        <v>220.4600067138672</v>
      </c>
      <c r="C66" s="4">
        <f>LN(B66/B65)</f>
        <v/>
      </c>
      <c r="D66" s="4">
        <f>SMALL(C$3:C$254, ROW()-2)</f>
        <v/>
      </c>
    </row>
    <row r="67">
      <c r="A67" t="inlineStr">
        <is>
          <t>2025-07-02</t>
        </is>
      </c>
      <c r="B67" s="3" t="n">
        <v>219.9199981689453</v>
      </c>
      <c r="C67" s="4">
        <f>LN(B67/B66)</f>
        <v/>
      </c>
      <c r="D67" s="4">
        <f>SMALL(C$3:C$254, ROW()-2)</f>
        <v/>
      </c>
    </row>
    <row r="68">
      <c r="A68" t="inlineStr">
        <is>
          <t>2025-07-03</t>
        </is>
      </c>
      <c r="B68" s="3" t="n">
        <v>223.4100036621094</v>
      </c>
      <c r="C68" s="4">
        <f>LN(B68/B67)</f>
        <v/>
      </c>
      <c r="D68" s="4">
        <f>SMALL(C$3:C$254, ROW()-2)</f>
        <v/>
      </c>
    </row>
    <row r="69">
      <c r="A69" t="inlineStr">
        <is>
          <t>2025-07-07</t>
        </is>
      </c>
      <c r="B69" s="3" t="n">
        <v>223.4700012207031</v>
      </c>
      <c r="C69" s="4">
        <f>LN(B69/B68)</f>
        <v/>
      </c>
      <c r="D69" s="4">
        <f>SMALL(C$3:C$254, ROW()-2)</f>
        <v/>
      </c>
    </row>
    <row r="70">
      <c r="A70" t="inlineStr">
        <is>
          <t>2025-07-08</t>
        </is>
      </c>
      <c r="B70" s="3" t="n">
        <v>219.3600006103516</v>
      </c>
      <c r="C70" s="4">
        <f>LN(B70/B69)</f>
        <v/>
      </c>
      <c r="D70" s="4">
        <f>SMALL(C$3:C$254, ROW()-2)</f>
        <v/>
      </c>
    </row>
    <row r="71">
      <c r="A71" t="inlineStr">
        <is>
          <t>2025-07-09</t>
        </is>
      </c>
      <c r="B71" s="3" t="n">
        <v>222.5399932861328</v>
      </c>
      <c r="C71" s="4">
        <f>LN(B71/B70)</f>
        <v/>
      </c>
      <c r="D71" s="4">
        <f>SMALL(C$3:C$254, ROW()-2)</f>
        <v/>
      </c>
    </row>
    <row r="72">
      <c r="A72" t="inlineStr">
        <is>
          <t>2025-07-10</t>
        </is>
      </c>
      <c r="B72" s="3" t="n">
        <v>222.2599945068359</v>
      </c>
      <c r="C72" s="4">
        <f>LN(B72/B71)</f>
        <v/>
      </c>
      <c r="D72" s="4">
        <f>SMALL(C$3:C$254, ROW()-2)</f>
        <v/>
      </c>
    </row>
    <row r="73">
      <c r="A73" t="inlineStr">
        <is>
          <t>2025-07-11</t>
        </is>
      </c>
      <c r="B73" s="3" t="n">
        <v>225.0200042724609</v>
      </c>
      <c r="C73" s="4">
        <f>LN(B73/B72)</f>
        <v/>
      </c>
      <c r="D73" s="4">
        <f>SMALL(C$3:C$254, ROW()-2)</f>
        <v/>
      </c>
    </row>
    <row r="74">
      <c r="A74" t="inlineStr">
        <is>
          <t>2025-07-14</t>
        </is>
      </c>
      <c r="B74" s="3" t="n">
        <v>225.6900024414062</v>
      </c>
      <c r="C74" s="4">
        <f>LN(B74/B73)</f>
        <v/>
      </c>
      <c r="D74" s="4">
        <f>SMALL(C$3:C$254, ROW()-2)</f>
        <v/>
      </c>
    </row>
    <row r="75">
      <c r="A75" t="inlineStr">
        <is>
          <t>2025-07-15</t>
        </is>
      </c>
      <c r="B75" s="3" t="n">
        <v>226.3500061035156</v>
      </c>
      <c r="C75" s="4">
        <f>LN(B75/B74)</f>
        <v/>
      </c>
      <c r="D75" s="4">
        <f>SMALL(C$3:C$254, ROW()-2)</f>
        <v/>
      </c>
    </row>
    <row r="76">
      <c r="A76" t="inlineStr">
        <is>
          <t>2025-07-16</t>
        </is>
      </c>
      <c r="B76" s="3" t="n">
        <v>223.1900024414062</v>
      </c>
      <c r="C76" s="4">
        <f>LN(B76/B75)</f>
        <v/>
      </c>
      <c r="D76" s="4">
        <f>SMALL(C$3:C$254, ROW()-2)</f>
        <v/>
      </c>
    </row>
    <row r="77">
      <c r="A77" t="inlineStr">
        <is>
          <t>2025-07-17</t>
        </is>
      </c>
      <c r="B77" s="3" t="n">
        <v>223.8800048828125</v>
      </c>
      <c r="C77" s="4">
        <f>LN(B77/B76)</f>
        <v/>
      </c>
      <c r="D77" s="4">
        <f>SMALL(C$3:C$254, ROW()-2)</f>
        <v/>
      </c>
    </row>
    <row r="78">
      <c r="A78" t="inlineStr">
        <is>
          <t>2025-07-18</t>
        </is>
      </c>
      <c r="B78" s="3" t="n">
        <v>226.1300048828125</v>
      </c>
      <c r="C78" s="4">
        <f>LN(B78/B77)</f>
        <v/>
      </c>
      <c r="D78" s="4">
        <f>SMALL(C$3:C$254, ROW()-2)</f>
        <v/>
      </c>
    </row>
    <row r="79">
      <c r="A79" t="inlineStr">
        <is>
          <t>2025-07-21</t>
        </is>
      </c>
      <c r="B79" s="3" t="n">
        <v>229.3000030517578</v>
      </c>
      <c r="C79" s="4">
        <f>LN(B79/B78)</f>
        <v/>
      </c>
      <c r="D79" s="4">
        <f>SMALL(C$3:C$254, ROW()-2)</f>
        <v/>
      </c>
    </row>
    <row r="80">
      <c r="A80" t="inlineStr">
        <is>
          <t>2025-07-22</t>
        </is>
      </c>
      <c r="B80" s="3" t="n">
        <v>227.4700012207031</v>
      </c>
      <c r="C80" s="4">
        <f>LN(B80/B79)</f>
        <v/>
      </c>
      <c r="D80" s="4">
        <f>SMALL(C$3:C$254, ROW()-2)</f>
        <v/>
      </c>
    </row>
    <row r="81">
      <c r="A81" t="inlineStr">
        <is>
          <t>2025-07-23</t>
        </is>
      </c>
      <c r="B81" s="3" t="n">
        <v>228.2899932861328</v>
      </c>
      <c r="C81" s="4">
        <f>LN(B81/B80)</f>
        <v/>
      </c>
      <c r="D81" s="4">
        <f>SMALL(C$3:C$254, ROW()-2)</f>
        <v/>
      </c>
    </row>
    <row r="82">
      <c r="A82" t="inlineStr">
        <is>
          <t>2025-07-24</t>
        </is>
      </c>
      <c r="B82" s="3" t="n">
        <v>232.2299957275391</v>
      </c>
      <c r="C82" s="4">
        <f>LN(B82/B81)</f>
        <v/>
      </c>
      <c r="D82" s="4">
        <f>SMALL(C$3:C$254, ROW()-2)</f>
        <v/>
      </c>
    </row>
    <row r="83">
      <c r="A83" t="inlineStr">
        <is>
          <t>2025-07-25</t>
        </is>
      </c>
      <c r="B83" s="3" t="n">
        <v>231.4400024414062</v>
      </c>
      <c r="C83" s="4">
        <f>LN(B83/B82)</f>
        <v/>
      </c>
      <c r="D83" s="4">
        <f>SMALL(C$3:C$254, ROW()-2)</f>
        <v/>
      </c>
    </row>
    <row r="84">
      <c r="A84" t="inlineStr">
        <is>
          <t>2025-07-28</t>
        </is>
      </c>
      <c r="B84" s="3" t="n">
        <v>232.7899932861328</v>
      </c>
      <c r="C84" s="4">
        <f>LN(B84/B83)</f>
        <v/>
      </c>
      <c r="D84" s="4">
        <f>SMALL(C$3:C$254, ROW()-2)</f>
        <v/>
      </c>
    </row>
    <row r="85">
      <c r="A85" t="inlineStr">
        <is>
          <t>2025-07-29</t>
        </is>
      </c>
      <c r="B85" s="3" t="n">
        <v>231.0099945068359</v>
      </c>
      <c r="C85" s="4">
        <f>LN(B85/B84)</f>
        <v/>
      </c>
      <c r="D85" s="4">
        <f>SMALL(C$3:C$254, ROW()-2)</f>
        <v/>
      </c>
    </row>
    <row r="86">
      <c r="A86" t="inlineStr">
        <is>
          <t>2025-07-30</t>
        </is>
      </c>
      <c r="B86" s="3" t="n">
        <v>230.1900024414062</v>
      </c>
      <c r="C86" s="4">
        <f>LN(B86/B85)</f>
        <v/>
      </c>
      <c r="D86" s="4">
        <f>SMALL(C$3:C$254, ROW()-2)</f>
        <v/>
      </c>
    </row>
    <row r="87">
      <c r="A87" t="inlineStr">
        <is>
          <t>2025-07-31</t>
        </is>
      </c>
      <c r="B87" s="3" t="n">
        <v>234.1100006103516</v>
      </c>
      <c r="C87" s="4">
        <f>LN(B87/B86)</f>
        <v/>
      </c>
      <c r="D87" s="4">
        <f>SMALL(C$3:C$254, ROW()-2)</f>
        <v/>
      </c>
    </row>
    <row r="88">
      <c r="A88" t="inlineStr">
        <is>
          <t>2025-08-01</t>
        </is>
      </c>
      <c r="B88" s="3" t="n">
        <v>214.75</v>
      </c>
      <c r="C88" s="4">
        <f>LN(B88/B87)</f>
        <v/>
      </c>
      <c r="D88" s="4">
        <f>SMALL(C$3:C$254, ROW()-2)</f>
        <v/>
      </c>
    </row>
    <row r="89">
      <c r="A89" t="inlineStr">
        <is>
          <t>2025-08-04</t>
        </is>
      </c>
      <c r="B89" s="3" t="n">
        <v>211.6499938964844</v>
      </c>
      <c r="C89" s="4">
        <f>LN(B89/B88)</f>
        <v/>
      </c>
      <c r="D89" s="4">
        <f>SMALL(C$3:C$254, ROW()-2)</f>
        <v/>
      </c>
    </row>
    <row r="90">
      <c r="A90" t="inlineStr">
        <is>
          <t>2025-08-05</t>
        </is>
      </c>
      <c r="B90" s="3" t="n">
        <v>213.75</v>
      </c>
      <c r="C90" s="4">
        <f>LN(B90/B89)</f>
        <v/>
      </c>
      <c r="D90" s="4">
        <f>SMALL(C$3:C$254, ROW()-2)</f>
        <v/>
      </c>
    </row>
    <row r="91">
      <c r="A91" t="inlineStr">
        <is>
          <t>2025-08-06</t>
        </is>
      </c>
      <c r="B91" s="3" t="n">
        <v>222.3099975585938</v>
      </c>
      <c r="C91" s="4">
        <f>LN(B91/B90)</f>
        <v/>
      </c>
      <c r="D91" s="4">
        <f>SMALL(C$3:C$254, ROW()-2)</f>
        <v/>
      </c>
    </row>
    <row r="92">
      <c r="A92" t="inlineStr">
        <is>
          <t>2025-08-07</t>
        </is>
      </c>
      <c r="B92" s="3" t="n">
        <v>223.1300048828125</v>
      </c>
      <c r="C92" s="4">
        <f>LN(B92/B91)</f>
        <v/>
      </c>
      <c r="D92" s="4">
        <f>SMALL(C$3:C$254, ROW()-2)</f>
        <v/>
      </c>
    </row>
    <row r="93">
      <c r="A93" t="inlineStr">
        <is>
          <t>2025-08-08</t>
        </is>
      </c>
      <c r="B93" s="3" t="n">
        <v>222.6900024414062</v>
      </c>
      <c r="C93" s="4">
        <f>LN(B93/B92)</f>
        <v/>
      </c>
      <c r="D93" s="4">
        <f>SMALL(C$3:C$254, ROW()-2)</f>
        <v/>
      </c>
    </row>
    <row r="94">
      <c r="A94" t="inlineStr">
        <is>
          <t>2025-08-11</t>
        </is>
      </c>
      <c r="B94" s="3" t="n">
        <v>221.3000030517578</v>
      </c>
      <c r="C94" s="4">
        <f>LN(B94/B93)</f>
        <v/>
      </c>
      <c r="D94" s="4">
        <f>SMALL(C$3:C$254, ROW()-2)</f>
        <v/>
      </c>
    </row>
    <row r="95">
      <c r="A95" t="inlineStr">
        <is>
          <t>2025-08-12</t>
        </is>
      </c>
      <c r="B95" s="3" t="n">
        <v>221.4700012207031</v>
      </c>
      <c r="C95" s="4">
        <f>LN(B95/B94)</f>
        <v/>
      </c>
      <c r="D95" s="4">
        <f>SMALL(C$3:C$254, ROW()-2)</f>
        <v/>
      </c>
    </row>
    <row r="96">
      <c r="A96" t="inlineStr">
        <is>
          <t>2025-08-13</t>
        </is>
      </c>
      <c r="B96" s="3" t="n">
        <v>224.5599975585938</v>
      </c>
      <c r="C96" s="4">
        <f>LN(B96/B95)</f>
        <v/>
      </c>
      <c r="D96" s="4">
        <f>SMALL(C$3:C$254, ROW()-2)</f>
        <v/>
      </c>
    </row>
    <row r="97">
      <c r="A97" t="inlineStr">
        <is>
          <t>2025-08-14</t>
        </is>
      </c>
      <c r="B97" s="3" t="n">
        <v>230.9799957275391</v>
      </c>
      <c r="C97" s="4">
        <f>LN(B97/B96)</f>
        <v/>
      </c>
      <c r="D97" s="4">
        <f>SMALL(C$3:C$254, ROW()-2)</f>
        <v/>
      </c>
    </row>
    <row r="98">
      <c r="A98" t="inlineStr">
        <is>
          <t>2025-08-15</t>
        </is>
      </c>
      <c r="B98" s="3" t="n">
        <v>231.0299987792969</v>
      </c>
      <c r="C98" s="4">
        <f>LN(B98/B97)</f>
        <v/>
      </c>
      <c r="D98" s="4">
        <f>SMALL(C$3:C$254, ROW()-2)</f>
        <v/>
      </c>
    </row>
    <row r="99">
      <c r="A99" t="inlineStr">
        <is>
          <t>2025-08-18</t>
        </is>
      </c>
      <c r="B99" s="3" t="n">
        <v>231.4900054931641</v>
      </c>
      <c r="C99" s="4">
        <f>LN(B99/B98)</f>
        <v/>
      </c>
      <c r="D99" s="4">
        <f>SMALL(C$3:C$254, ROW()-2)</f>
        <v/>
      </c>
    </row>
    <row r="100">
      <c r="A100" t="inlineStr">
        <is>
          <t>2025-08-19</t>
        </is>
      </c>
      <c r="B100" s="3" t="n">
        <v>228.0099945068359</v>
      </c>
      <c r="C100" s="4">
        <f>LN(B100/B99)</f>
        <v/>
      </c>
      <c r="D100" s="4">
        <f>SMALL(C$3:C$254, ROW()-2)</f>
        <v/>
      </c>
    </row>
    <row r="101">
      <c r="A101" t="inlineStr">
        <is>
          <t>2025-08-20</t>
        </is>
      </c>
      <c r="B101" s="3" t="n">
        <v>223.8099975585938</v>
      </c>
      <c r="C101" s="4">
        <f>LN(B101/B100)</f>
        <v/>
      </c>
      <c r="D101" s="4">
        <f>SMALL(C$3:C$254, ROW()-2)</f>
        <v/>
      </c>
    </row>
    <row r="102">
      <c r="A102" t="inlineStr">
        <is>
          <t>2025-08-21</t>
        </is>
      </c>
      <c r="B102" s="3" t="n">
        <v>221.9499969482422</v>
      </c>
      <c r="C102" s="4">
        <f>LN(B102/B101)</f>
        <v/>
      </c>
      <c r="D102" s="4">
        <f>SMALL(C$3:C$254, ROW()-2)</f>
        <v/>
      </c>
    </row>
    <row r="103">
      <c r="A103" t="inlineStr">
        <is>
          <t>2025-08-22</t>
        </is>
      </c>
      <c r="B103" s="3" t="n">
        <v>228.8399963378906</v>
      </c>
      <c r="C103" s="4">
        <f>LN(B103/B102)</f>
        <v/>
      </c>
      <c r="D103" s="4">
        <f>SMALL(C$3:C$254, ROW()-2)</f>
        <v/>
      </c>
    </row>
    <row r="104">
      <c r="A104" t="inlineStr">
        <is>
          <t>2025-08-25</t>
        </is>
      </c>
      <c r="B104" s="3" t="n">
        <v>227.9400024414062</v>
      </c>
      <c r="C104" s="4">
        <f>LN(B104/B103)</f>
        <v/>
      </c>
      <c r="D104" s="4">
        <f>SMALL(C$3:C$254, ROW()-2)</f>
        <v/>
      </c>
    </row>
    <row r="105">
      <c r="A105" t="inlineStr">
        <is>
          <t>2025-08-26</t>
        </is>
      </c>
      <c r="B105" s="3" t="n">
        <v>228.7100067138672</v>
      </c>
      <c r="C105" s="4">
        <f>LN(B105/B104)</f>
        <v/>
      </c>
      <c r="D105" s="4">
        <f>SMALL(C$3:C$254, ROW()-2)</f>
        <v/>
      </c>
    </row>
    <row r="106">
      <c r="A106" t="inlineStr">
        <is>
          <t>2025-08-27</t>
        </is>
      </c>
      <c r="B106" s="3" t="n">
        <v>229.1199951171875</v>
      </c>
      <c r="C106" s="4">
        <f>LN(B106/B105)</f>
        <v/>
      </c>
      <c r="D106" s="4">
        <f>SMALL(C$3:C$254, ROW()-2)</f>
        <v/>
      </c>
    </row>
    <row r="107">
      <c r="A107" t="inlineStr">
        <is>
          <t>2025-08-28</t>
        </is>
      </c>
      <c r="B107" s="3" t="n">
        <v>231.6000061035156</v>
      </c>
      <c r="C107" s="4">
        <f>LN(B107/B106)</f>
        <v/>
      </c>
      <c r="D107" s="4">
        <f>SMALL(C$3:C$254, ROW()-2)</f>
        <v/>
      </c>
    </row>
    <row r="108">
      <c r="A108" t="inlineStr">
        <is>
          <t>2025-08-29</t>
        </is>
      </c>
      <c r="B108" s="3" t="n">
        <v>229</v>
      </c>
      <c r="C108" s="4">
        <f>LN(B108/B107)</f>
        <v/>
      </c>
      <c r="D108" s="4">
        <f>SMALL(C$3:C$254, ROW()-2)</f>
        <v/>
      </c>
    </row>
    <row r="109">
      <c r="A109" t="inlineStr">
        <is>
          <t>2025-09-02</t>
        </is>
      </c>
      <c r="B109" s="3" t="n">
        <v>225.3399963378906</v>
      </c>
      <c r="C109" s="4">
        <f>LN(B109/B108)</f>
        <v/>
      </c>
      <c r="D109" s="4">
        <f>SMALL(C$3:C$254, ROW()-2)</f>
        <v/>
      </c>
    </row>
    <row r="110">
      <c r="A110" t="inlineStr">
        <is>
          <t>2025-09-03</t>
        </is>
      </c>
      <c r="B110" s="3" t="n">
        <v>225.9900054931641</v>
      </c>
      <c r="C110" s="4">
        <f>LN(B110/B109)</f>
        <v/>
      </c>
      <c r="D110" s="4">
        <f>SMALL(C$3:C$254, ROW()-2)</f>
        <v/>
      </c>
    </row>
    <row r="111">
      <c r="A111" t="inlineStr">
        <is>
          <t>2025-09-04</t>
        </is>
      </c>
      <c r="B111" s="3" t="n">
        <v>235.6799926757812</v>
      </c>
      <c r="C111" s="4">
        <f>LN(B111/B110)</f>
        <v/>
      </c>
      <c r="D111" s="4">
        <f>SMALL(C$3:C$254, ROW()-2)</f>
        <v/>
      </c>
    </row>
    <row r="112">
      <c r="A112" t="inlineStr">
        <is>
          <t>2025-09-05</t>
        </is>
      </c>
      <c r="B112" s="3" t="n">
        <v>232.3300018310547</v>
      </c>
      <c r="C112" s="4">
        <f>LN(B112/B111)</f>
        <v/>
      </c>
      <c r="D112" s="4">
        <f>SMALL(C$3:C$254, ROW()-2)</f>
        <v/>
      </c>
    </row>
    <row r="113">
      <c r="A113" t="inlineStr">
        <is>
          <t>2025-09-08</t>
        </is>
      </c>
      <c r="B113" s="3" t="n">
        <v>235.8399963378906</v>
      </c>
      <c r="C113" s="4">
        <f>LN(B113/B112)</f>
        <v/>
      </c>
      <c r="D113" s="4">
        <f>SMALL(C$3:C$254, ROW()-2)</f>
        <v/>
      </c>
    </row>
    <row r="114">
      <c r="A114" t="inlineStr">
        <is>
          <t>2025-09-09</t>
        </is>
      </c>
      <c r="B114" s="3" t="n">
        <v>238.2400054931641</v>
      </c>
      <c r="C114" s="4">
        <f>LN(B114/B113)</f>
        <v/>
      </c>
      <c r="D114" s="4">
        <f>SMALL(C$3:C$254, ROW()-2)</f>
        <v/>
      </c>
    </row>
    <row r="115">
      <c r="A115" t="inlineStr">
        <is>
          <t>2025-09-10</t>
        </is>
      </c>
      <c r="B115" s="3" t="n">
        <v>230.3300018310547</v>
      </c>
      <c r="C115" s="4">
        <f>LN(B115/B114)</f>
        <v/>
      </c>
      <c r="D115" s="4">
        <f>SMALL(C$3:C$254, ROW()-2)</f>
        <v/>
      </c>
    </row>
    <row r="116">
      <c r="A116" t="inlineStr">
        <is>
          <t>2025-09-11</t>
        </is>
      </c>
      <c r="B116" s="3" t="n">
        <v>229.9499969482422</v>
      </c>
      <c r="C116" s="4">
        <f>LN(B116/B115)</f>
        <v/>
      </c>
      <c r="D116" s="4">
        <f>SMALL(C$3:C$254, ROW()-2)</f>
        <v/>
      </c>
    </row>
    <row r="117">
      <c r="A117" t="inlineStr">
        <is>
          <t>2025-09-12</t>
        </is>
      </c>
      <c r="B117" s="3" t="n">
        <v>228.1499938964844</v>
      </c>
      <c r="C117" s="4">
        <f>LN(B117/B116)</f>
        <v/>
      </c>
      <c r="D117" s="4">
        <f>SMALL(C$3:C$254, ROW()-2)</f>
        <v/>
      </c>
    </row>
    <row r="118">
      <c r="A118" t="inlineStr">
        <is>
          <t>2025-09-15</t>
        </is>
      </c>
      <c r="B118" s="3" t="n">
        <v>231.4299926757812</v>
      </c>
      <c r="C118" s="4">
        <f>LN(B118/B117)</f>
        <v/>
      </c>
      <c r="D118" s="4">
        <f>SMALL(C$3:C$254, ROW()-2)</f>
        <v/>
      </c>
    </row>
    <row r="119">
      <c r="A119" t="inlineStr">
        <is>
          <t>2025-09-16</t>
        </is>
      </c>
      <c r="B119" s="3" t="n">
        <v>234.0500030517578</v>
      </c>
      <c r="C119" s="4">
        <f>LN(B119/B118)</f>
        <v/>
      </c>
      <c r="D119" s="4">
        <f>SMALL(C$3:C$254, ROW()-2)</f>
        <v/>
      </c>
    </row>
    <row r="120">
      <c r="A120" t="inlineStr">
        <is>
          <t>2025-09-17</t>
        </is>
      </c>
      <c r="B120" s="3" t="n">
        <v>231.6199951171875</v>
      </c>
      <c r="C120" s="4">
        <f>LN(B120/B119)</f>
        <v/>
      </c>
      <c r="D120" s="4">
        <f>SMALL(C$3:C$254, ROW()-2)</f>
        <v/>
      </c>
    </row>
    <row r="121">
      <c r="A121" t="inlineStr">
        <is>
          <t>2025-09-18</t>
        </is>
      </c>
      <c r="B121" s="3" t="n">
        <v>231.2299957275391</v>
      </c>
      <c r="C121" s="4">
        <f>LN(B121/B120)</f>
        <v/>
      </c>
      <c r="D121" s="4">
        <f>SMALL(C$3:C$254, ROW()-2)</f>
        <v/>
      </c>
    </row>
    <row r="122">
      <c r="A122" t="inlineStr">
        <is>
          <t>2025-09-19</t>
        </is>
      </c>
      <c r="B122" s="3" t="n">
        <v>231.4799957275391</v>
      </c>
      <c r="C122" s="4">
        <f>LN(B122/B121)</f>
        <v/>
      </c>
      <c r="D122" s="4">
        <f>SMALL(C$3:C$254, ROW()-2)</f>
        <v/>
      </c>
    </row>
    <row r="123">
      <c r="A123" t="inlineStr">
        <is>
          <t>2025-09-22</t>
        </is>
      </c>
      <c r="B123" s="3" t="n">
        <v>227.6300048828125</v>
      </c>
      <c r="C123" s="4">
        <f>LN(B123/B122)</f>
        <v/>
      </c>
      <c r="D123" s="4">
        <f>SMALL(C$3:C$254, ROW()-2)</f>
        <v/>
      </c>
    </row>
    <row r="124">
      <c r="A124" t="inlineStr">
        <is>
          <t>2025-09-23</t>
        </is>
      </c>
      <c r="B124" s="3" t="n">
        <v>220.7100067138672</v>
      </c>
      <c r="C124" s="4">
        <f>LN(B124/B123)</f>
        <v/>
      </c>
      <c r="D124" s="4">
        <f>SMALL(C$3:C$254, ROW()-2)</f>
        <v/>
      </c>
    </row>
    <row r="125">
      <c r="A125" t="inlineStr">
        <is>
          <t>2025-09-24</t>
        </is>
      </c>
      <c r="B125" s="3" t="n">
        <v>220.2100067138672</v>
      </c>
      <c r="C125" s="4">
        <f>LN(B125/B124)</f>
        <v/>
      </c>
      <c r="D125" s="4">
        <f>SMALL(C$3:C$254, ROW()-2)</f>
        <v/>
      </c>
    </row>
    <row r="126">
      <c r="A126" t="inlineStr">
        <is>
          <t>2025-09-25</t>
        </is>
      </c>
      <c r="B126" s="3" t="n">
        <v>218.1499938964844</v>
      </c>
      <c r="C126" s="4">
        <f>LN(B126/B125)</f>
        <v/>
      </c>
      <c r="D126" s="4">
        <f>SMALL(C$3:C$254, ROW()-2)</f>
        <v/>
      </c>
    </row>
    <row r="127">
      <c r="A127" t="inlineStr">
        <is>
          <t>2025-09-26</t>
        </is>
      </c>
      <c r="B127" s="3" t="n">
        <v>219.7799987792969</v>
      </c>
      <c r="C127" s="4">
        <f>LN(B127/B126)</f>
        <v/>
      </c>
      <c r="D127" s="4">
        <f>SMALL(C$3:C$254, ROW()-2)</f>
        <v/>
      </c>
    </row>
    <row r="128">
      <c r="A128" t="inlineStr">
        <is>
          <t>2025-09-29</t>
        </is>
      </c>
      <c r="B128" s="3" t="n">
        <v>222.1699981689453</v>
      </c>
      <c r="C128" s="4">
        <f>LN(B128/B127)</f>
        <v/>
      </c>
      <c r="D128" s="4">
        <f>SMALL(C$3:C$254, ROW()-2)</f>
        <v/>
      </c>
    </row>
    <row r="129">
      <c r="A129" t="inlineStr">
        <is>
          <t>2025-09-30</t>
        </is>
      </c>
      <c r="B129" s="3" t="n">
        <v>219.5700073242188</v>
      </c>
      <c r="C129" s="4">
        <f>LN(B129/B128)</f>
        <v/>
      </c>
      <c r="D129" s="4">
        <f>SMALL(C$3:C$254, ROW()-2)</f>
        <v/>
      </c>
    </row>
    <row r="130">
      <c r="A130" t="inlineStr">
        <is>
          <t>2025-10-01</t>
        </is>
      </c>
      <c r="B130" s="3" t="n">
        <v>220.6300048828125</v>
      </c>
      <c r="C130" s="4">
        <f>LN(B130/B129)</f>
        <v/>
      </c>
      <c r="D130" s="4">
        <f>SMALL(C$3:C$254, ROW()-2)</f>
        <v/>
      </c>
    </row>
    <row r="131">
      <c r="A131" t="inlineStr">
        <is>
          <t>2025-10-02</t>
        </is>
      </c>
      <c r="B131" s="3" t="n">
        <v>222.4100036621094</v>
      </c>
      <c r="C131" s="4">
        <f>LN(B131/B130)</f>
        <v/>
      </c>
      <c r="D131" s="4">
        <f>SMALL(C$3:C$254, ROW()-2)</f>
        <v/>
      </c>
    </row>
    <row r="132">
      <c r="A132" t="inlineStr">
        <is>
          <t>2025-10-03</t>
        </is>
      </c>
      <c r="B132" s="3" t="n">
        <v>219.5099945068359</v>
      </c>
      <c r="C132" s="4">
        <f>LN(B132/B131)</f>
        <v/>
      </c>
      <c r="D132" s="4">
        <f>SMALL(C$3:C$254, ROW()-2)</f>
        <v/>
      </c>
    </row>
    <row r="133">
      <c r="A133" t="inlineStr">
        <is>
          <t>2025-10-06</t>
        </is>
      </c>
      <c r="B133" s="3" t="n">
        <v>220.8999938964844</v>
      </c>
      <c r="C133" s="4">
        <f>LN(B133/B132)</f>
        <v/>
      </c>
      <c r="D133" s="4">
        <f>SMALL(C$3:C$254, ROW()-2)</f>
        <v/>
      </c>
    </row>
    <row r="134">
      <c r="A134" t="inlineStr">
        <is>
          <t>2025-10-07</t>
        </is>
      </c>
      <c r="B134" s="3" t="n">
        <v>221.7799987792969</v>
      </c>
      <c r="C134" s="4">
        <f>LN(B134/B133)</f>
        <v/>
      </c>
      <c r="D134" s="4">
        <f>SMALL(C$3:C$254, ROW()-2)</f>
        <v/>
      </c>
    </row>
    <row r="135">
      <c r="A135" t="inlineStr">
        <is>
          <t>2025-10-08</t>
        </is>
      </c>
      <c r="B135" s="3" t="n">
        <v>225.2200012207031</v>
      </c>
      <c r="C135" s="4">
        <f>LN(B135/B134)</f>
        <v/>
      </c>
      <c r="D135" s="4">
        <f>SMALL(C$3:C$254, ROW()-2)</f>
        <v/>
      </c>
    </row>
    <row r="136">
      <c r="A136" t="inlineStr">
        <is>
          <t>2025-10-09</t>
        </is>
      </c>
      <c r="B136" s="3" t="n">
        <v>227.7400054931641</v>
      </c>
      <c r="C136" s="4">
        <f>LN(B136/B135)</f>
        <v/>
      </c>
      <c r="D136" s="4">
        <f>SMALL(C$3:C$254, ROW()-2)</f>
        <v/>
      </c>
    </row>
    <row r="137">
      <c r="A137" t="inlineStr">
        <is>
          <t>2025-10-10</t>
        </is>
      </c>
      <c r="B137" s="3" t="n">
        <v>216.3699951171875</v>
      </c>
      <c r="C137" s="4">
        <f>LN(B137/B136)</f>
        <v/>
      </c>
      <c r="D137" s="4">
        <f>SMALL(C$3:C$254, ROW()-2)</f>
        <v/>
      </c>
    </row>
    <row r="138">
      <c r="A138" t="inlineStr">
        <is>
          <t>2025-10-13</t>
        </is>
      </c>
      <c r="B138" s="3" t="n">
        <v>220.0700073242188</v>
      </c>
      <c r="C138" s="4">
        <f>LN(B138/B137)</f>
        <v/>
      </c>
      <c r="D138" s="4">
        <f>SMALL(C$3:C$254, ROW()-2)</f>
        <v/>
      </c>
    </row>
    <row r="139">
      <c r="A139" t="inlineStr">
        <is>
          <t>2025-10-14</t>
        </is>
      </c>
      <c r="B139" s="3" t="n">
        <v>216.3899993896484</v>
      </c>
      <c r="C139" s="4">
        <f>LN(B139/B138)</f>
        <v/>
      </c>
      <c r="D139" s="4">
        <f>SMALL(C$3:C$254, ROW()-2)</f>
        <v/>
      </c>
    </row>
    <row r="140">
      <c r="A140" t="inlineStr">
        <is>
          <t>2025-10-15</t>
        </is>
      </c>
      <c r="B140" s="3" t="n">
        <v>215.5700073242188</v>
      </c>
      <c r="C140" s="4">
        <f>LN(B140/B139)</f>
        <v/>
      </c>
      <c r="D140" s="4">
        <f>SMALL(C$3:C$254, ROW()-2)</f>
        <v/>
      </c>
    </row>
    <row r="141">
      <c r="A141" t="inlineStr">
        <is>
          <t>2025-10-16</t>
        </is>
      </c>
      <c r="B141" s="3" t="n">
        <v>214.4700012207031</v>
      </c>
      <c r="C141" s="4">
        <f>LN(B141/B140)</f>
        <v/>
      </c>
      <c r="D141" s="4">
        <f>SMALL(C$3:C$254, ROW()-2)</f>
        <v/>
      </c>
    </row>
    <row r="142">
      <c r="A142" t="inlineStr">
        <is>
          <t>2025-10-17</t>
        </is>
      </c>
      <c r="B142" s="3" t="n">
        <v>213.0399932861328</v>
      </c>
      <c r="C142" s="4">
        <f>LN(B142/B141)</f>
        <v/>
      </c>
      <c r="D142" s="4">
        <f>SMALL(C$3:C$254, ROW()-2)</f>
        <v/>
      </c>
    </row>
    <row r="143">
      <c r="A143" t="inlineStr">
        <is>
          <t>2025-10-20</t>
        </is>
      </c>
      <c r="B143" s="3" t="n">
        <v>216.4799957275391</v>
      </c>
      <c r="C143" s="4">
        <f>LN(B143/B142)</f>
        <v/>
      </c>
      <c r="D143" s="4">
        <f>SMALL(C$3:C$254, ROW()-2)</f>
        <v/>
      </c>
    </row>
    <row r="144">
      <c r="A144" t="inlineStr">
        <is>
          <t>2025-10-21</t>
        </is>
      </c>
      <c r="B144" s="3" t="n">
        <v>222.0299987792969</v>
      </c>
      <c r="C144" s="4">
        <f>LN(B144/B143)</f>
        <v/>
      </c>
      <c r="D144" s="4">
        <f>SMALL(C$3:C$254, ROW()-2)</f>
        <v/>
      </c>
    </row>
    <row r="145">
      <c r="A145" t="inlineStr">
        <is>
          <t>2025-10-22</t>
        </is>
      </c>
      <c r="B145" s="3" t="n">
        <v>217.9499969482422</v>
      </c>
      <c r="C145" s="4">
        <f>LN(B145/B144)</f>
        <v/>
      </c>
      <c r="D145" s="4">
        <f>SMALL(C$3:C$254, ROW()-2)</f>
        <v/>
      </c>
    </row>
    <row r="146">
      <c r="A146" t="inlineStr">
        <is>
          <t>2025-10-23</t>
        </is>
      </c>
      <c r="B146" s="3" t="n">
        <v>221.0899963378906</v>
      </c>
      <c r="C146" s="4">
        <f>LN(B146/B145)</f>
        <v/>
      </c>
      <c r="D146" s="4">
        <f>SMALL(C$3:C$254, ROW()-2)</f>
        <v/>
      </c>
    </row>
    <row r="147">
      <c r="A147" t="inlineStr">
        <is>
          <t>2025-10-24</t>
        </is>
      </c>
      <c r="B147" s="3" t="n">
        <v>224.2100067138672</v>
      </c>
      <c r="C147" s="4">
        <f>LN(B147/B146)</f>
        <v/>
      </c>
      <c r="D147" s="4">
        <f>SMALL(C$3:C$254, ROW()-2)</f>
        <v/>
      </c>
    </row>
    <row r="148">
      <c r="A148" t="inlineStr">
        <is>
          <t>2025-10-27</t>
        </is>
      </c>
      <c r="B148" s="3" t="n">
        <v>226.9700012207031</v>
      </c>
      <c r="C148" s="4">
        <f>LN(B148/B147)</f>
        <v/>
      </c>
      <c r="D148" s="4">
        <f>SMALL(C$3:C$254, ROW()-2)</f>
        <v/>
      </c>
    </row>
    <row r="149">
      <c r="A149" t="inlineStr">
        <is>
          <t>2025-10-28</t>
        </is>
      </c>
      <c r="B149" s="3" t="n">
        <v>229.25</v>
      </c>
      <c r="C149" s="4">
        <f>LN(B149/B148)</f>
        <v/>
      </c>
      <c r="D149" s="4">
        <f>SMALL(C$3:C$254, ROW()-2)</f>
        <v/>
      </c>
    </row>
    <row r="150">
      <c r="A150" t="inlineStr">
        <is>
          <t>2025-10-29</t>
        </is>
      </c>
      <c r="B150" s="3" t="n">
        <v>230.3000030517578</v>
      </c>
      <c r="C150" s="4">
        <f>LN(B150/B149)</f>
        <v/>
      </c>
      <c r="D150" s="4">
        <f>SMALL(C$3:C$254, ROW()-2)</f>
        <v/>
      </c>
    </row>
    <row r="151">
      <c r="A151" t="inlineStr">
        <is>
          <t>2025-10-30</t>
        </is>
      </c>
      <c r="B151" s="3" t="n">
        <v>222.8600006103516</v>
      </c>
      <c r="C151" s="4">
        <f>LN(B151/B150)</f>
        <v/>
      </c>
      <c r="D151" s="4">
        <f>SMALL(C$3:C$254, ROW()-2)</f>
        <v/>
      </c>
    </row>
    <row r="152">
      <c r="A152" t="inlineStr">
        <is>
          <t>2025-10-31</t>
        </is>
      </c>
      <c r="B152" s="3" t="n">
        <v>244.2200012207031</v>
      </c>
      <c r="C152" s="4">
        <f>LN(B152/B151)</f>
        <v/>
      </c>
      <c r="D152" s="4">
        <f>SMALL(C$3:C$254, ROW()-2)</f>
        <v/>
      </c>
    </row>
    <row r="153">
      <c r="A153" t="inlineStr">
        <is>
          <t>2025-11-03</t>
        </is>
      </c>
      <c r="B153" s="3" t="n">
        <v>254</v>
      </c>
      <c r="C153" s="4">
        <f>LN(B153/B152)</f>
        <v/>
      </c>
      <c r="D153" s="4">
        <f>SMALL(C$3:C$254, ROW()-2)</f>
        <v/>
      </c>
    </row>
    <row r="154">
      <c r="A154" t="inlineStr">
        <is>
          <t>2025-11-04</t>
        </is>
      </c>
      <c r="B154" s="3" t="n">
        <v>249.3200073242188</v>
      </c>
      <c r="C154" s="4">
        <f>LN(B154/B153)</f>
        <v/>
      </c>
      <c r="D154" s="4">
        <f>SMALL(C$3:C$254, ROW()-2)</f>
        <v/>
      </c>
    </row>
    <row r="155">
      <c r="A155" t="inlineStr">
        <is>
          <t>2025-11-05</t>
        </is>
      </c>
      <c r="B155" s="3" t="n">
        <v>250.1999969482422</v>
      </c>
      <c r="C155" s="4">
        <f>LN(B155/B154)</f>
        <v/>
      </c>
      <c r="D155" s="4">
        <f>SMALL(C$3:C$254, ROW()-2)</f>
        <v/>
      </c>
    </row>
    <row r="156">
      <c r="A156" t="inlineStr">
        <is>
          <t>2025-11-06</t>
        </is>
      </c>
      <c r="B156" s="3" t="n">
        <v>243.0399932861328</v>
      </c>
      <c r="C156" s="4">
        <f>LN(B156/B155)</f>
        <v/>
      </c>
      <c r="D156" s="4">
        <f>SMALL(C$3:C$254, ROW()-2)</f>
        <v/>
      </c>
    </row>
    <row r="157">
      <c r="A157" t="inlineStr">
        <is>
          <t>2025-11-07</t>
        </is>
      </c>
      <c r="B157" s="3" t="n">
        <v>244.4100036621094</v>
      </c>
      <c r="C157" s="4">
        <f>LN(B157/B156)</f>
        <v/>
      </c>
      <c r="D157" s="4">
        <f>SMALL(C$3:C$254, ROW()-2)</f>
        <v/>
      </c>
    </row>
    <row r="158">
      <c r="A158" t="inlineStr">
        <is>
          <t>2025-11-10</t>
        </is>
      </c>
      <c r="B158" s="3" t="n">
        <v>248.3999938964844</v>
      </c>
      <c r="C158" s="4">
        <f>LN(B158/B157)</f>
        <v/>
      </c>
      <c r="D158" s="4">
        <f>SMALL(C$3:C$254, ROW()-2)</f>
        <v/>
      </c>
    </row>
    <row r="159">
      <c r="A159" t="inlineStr">
        <is>
          <t>2025-11-11</t>
        </is>
      </c>
      <c r="B159" s="3" t="n">
        <v>249.1000061035156</v>
      </c>
      <c r="C159" s="4">
        <f>LN(B159/B158)</f>
        <v/>
      </c>
      <c r="D159" s="4">
        <f>SMALL(C$3:C$254, ROW()-2)</f>
        <v/>
      </c>
    </row>
    <row r="160">
      <c r="A160" t="inlineStr">
        <is>
          <t>2025-11-12</t>
        </is>
      </c>
      <c r="B160" s="3" t="n">
        <v>244.1999969482422</v>
      </c>
      <c r="C160" s="4">
        <f>LN(B160/B159)</f>
        <v/>
      </c>
      <c r="D160" s="4">
        <f>SMALL(C$3:C$254, ROW()-2)</f>
        <v/>
      </c>
    </row>
    <row r="161">
      <c r="A161" t="inlineStr">
        <is>
          <t>2025-11-13</t>
        </is>
      </c>
      <c r="B161" s="3" t="n">
        <v>237.5800018310547</v>
      </c>
      <c r="C161" s="4">
        <f>LN(B161/B160)</f>
        <v/>
      </c>
      <c r="D161" s="4">
        <f>SMALL(C$3:C$254, ROW()-2)</f>
        <v/>
      </c>
    </row>
    <row r="162">
      <c r="A162" t="inlineStr">
        <is>
          <t>2025-11-14</t>
        </is>
      </c>
      <c r="B162" s="3" t="n">
        <v>234.6900024414062</v>
      </c>
      <c r="C162" s="4">
        <f>LN(B162/B161)</f>
        <v/>
      </c>
      <c r="D162" s="4">
        <f>SMALL(C$3:C$254, ROW()-2)</f>
        <v/>
      </c>
    </row>
    <row r="163">
      <c r="A163" t="inlineStr">
        <is>
          <t>2025-11-17</t>
        </is>
      </c>
      <c r="B163" s="3" t="n">
        <v>232.8699951171875</v>
      </c>
      <c r="C163" s="4">
        <f>LN(B163/B162)</f>
        <v/>
      </c>
      <c r="D163" s="4">
        <f>SMALL(C$3:C$254, ROW()-2)</f>
        <v/>
      </c>
    </row>
    <row r="164">
      <c r="A164" t="inlineStr">
        <is>
          <t>2025-11-18</t>
        </is>
      </c>
      <c r="B164" s="3" t="n">
        <v>222.5500030517578</v>
      </c>
      <c r="C164" s="4">
        <f>LN(B164/B163)</f>
        <v/>
      </c>
      <c r="D164" s="4">
        <f>SMALL(C$3:C$254, ROW()-2)</f>
        <v/>
      </c>
    </row>
    <row r="165">
      <c r="A165" t="inlineStr">
        <is>
          <t>2025-11-19</t>
        </is>
      </c>
      <c r="B165" s="3" t="n">
        <v>222.6900024414062</v>
      </c>
      <c r="C165" s="4">
        <f>LN(B165/B164)</f>
        <v/>
      </c>
      <c r="D165" s="4">
        <f>SMALL(C$3:C$254, ROW()-2)</f>
        <v/>
      </c>
    </row>
    <row r="166">
      <c r="A166" t="inlineStr">
        <is>
          <t>2025-11-20</t>
        </is>
      </c>
      <c r="B166" s="3" t="n">
        <v>217.1399993896484</v>
      </c>
      <c r="C166" s="4">
        <f>LN(B166/B165)</f>
        <v/>
      </c>
      <c r="D166" s="4">
        <f>SMALL(C$3:C$254, ROW()-2)</f>
        <v/>
      </c>
    </row>
    <row r="167">
      <c r="A167" t="inlineStr">
        <is>
          <t>2025-11-21</t>
        </is>
      </c>
      <c r="B167" s="3" t="n">
        <v>220.6900024414062</v>
      </c>
      <c r="C167" s="4">
        <f>LN(B167/B166)</f>
        <v/>
      </c>
      <c r="D167" s="4">
        <f>SMALL(C$3:C$254, ROW()-2)</f>
        <v/>
      </c>
    </row>
    <row r="168">
      <c r="A168" t="inlineStr">
        <is>
          <t>2025-11-24</t>
        </is>
      </c>
      <c r="B168" s="3" t="n">
        <v>226.2799987792969</v>
      </c>
      <c r="C168" s="4">
        <f>LN(B168/B167)</f>
        <v/>
      </c>
      <c r="D168" s="4">
        <f>SMALL(C$3:C$254, ROW()-2)</f>
        <v/>
      </c>
    </row>
    <row r="169">
      <c r="A169" t="inlineStr">
        <is>
          <t>2025-11-25</t>
        </is>
      </c>
      <c r="B169" s="3" t="n">
        <v>229.6699981689453</v>
      </c>
      <c r="C169" s="4">
        <f>LN(B169/B168)</f>
        <v/>
      </c>
      <c r="D169" s="4">
        <f>SMALL(C$3:C$254, ROW()-2)</f>
        <v/>
      </c>
    </row>
    <row r="170">
      <c r="A170" t="inlineStr">
        <is>
          <t>2025-11-26</t>
        </is>
      </c>
      <c r="B170" s="3" t="n">
        <v>229.1600036621094</v>
      </c>
      <c r="C170" s="4">
        <f>LN(B170/B169)</f>
        <v/>
      </c>
      <c r="D170" s="4">
        <f>SMALL(C$3:C$254, ROW()-2)</f>
        <v/>
      </c>
    </row>
    <row r="171">
      <c r="A171" t="inlineStr">
        <is>
          <t>2025-11-28</t>
        </is>
      </c>
      <c r="B171" s="3" t="n">
        <v>233.2200012207031</v>
      </c>
      <c r="C171" s="4">
        <f>LN(B171/B170)</f>
        <v/>
      </c>
      <c r="D171" s="4">
        <f>SMALL(C$3:C$254, ROW()-2)</f>
        <v/>
      </c>
    </row>
    <row r="172">
      <c r="A172" t="inlineStr">
        <is>
          <t>2025-12-01</t>
        </is>
      </c>
      <c r="B172" s="3" t="n">
        <v>233.8800048828125</v>
      </c>
      <c r="C172" s="4">
        <f>LN(B172/B171)</f>
        <v/>
      </c>
      <c r="D172" s="4">
        <f>SMALL(C$3:C$254, ROW()-2)</f>
        <v/>
      </c>
    </row>
    <row r="173">
      <c r="A173" t="inlineStr">
        <is>
          <t>2025-12-02</t>
        </is>
      </c>
      <c r="B173" s="3" t="n">
        <v>234.4199981689453</v>
      </c>
      <c r="C173" s="4">
        <f>LN(B173/B172)</f>
        <v/>
      </c>
      <c r="D173" s="4">
        <f>SMALL(C$3:C$254, ROW()-2)</f>
        <v/>
      </c>
    </row>
    <row r="174">
      <c r="A174" t="inlineStr">
        <is>
          <t>2025-12-03</t>
        </is>
      </c>
      <c r="B174" s="3" t="n">
        <v>232.3800048828125</v>
      </c>
      <c r="C174" s="4">
        <f>LN(B174/B173)</f>
        <v/>
      </c>
      <c r="D174" s="4">
        <f>SMALL(C$3:C$254, ROW()-2)</f>
        <v/>
      </c>
    </row>
    <row r="175">
      <c r="A175" t="inlineStr">
        <is>
          <t>2025-12-04</t>
        </is>
      </c>
      <c r="B175" s="3" t="n">
        <v>229.1100006103516</v>
      </c>
      <c r="C175" s="4">
        <f>LN(B175/B174)</f>
        <v/>
      </c>
      <c r="D175" s="4">
        <f>SMALL(C$3:C$254, ROW()-2)</f>
        <v/>
      </c>
    </row>
    <row r="176">
      <c r="A176" t="inlineStr">
        <is>
          <t>2025-12-05</t>
        </is>
      </c>
      <c r="B176" s="3" t="n">
        <v>229.5299987792969</v>
      </c>
      <c r="C176" s="4">
        <f>LN(B176/B175)</f>
        <v/>
      </c>
      <c r="D176" s="4">
        <f>SMALL(C$3:C$254, ROW()-2)</f>
        <v/>
      </c>
    </row>
    <row r="177">
      <c r="A177" t="inlineStr">
        <is>
          <t>2025-12-08</t>
        </is>
      </c>
      <c r="B177" s="3" t="n">
        <v>226.8899993896484</v>
      </c>
      <c r="C177" s="4">
        <f>LN(B177/B176)</f>
        <v/>
      </c>
      <c r="D177" s="4">
        <f>SMALL(C$3:C$254, ROW()-2)</f>
        <v/>
      </c>
    </row>
    <row r="178">
      <c r="A178" t="inlineStr">
        <is>
          <t>2025-12-09</t>
        </is>
      </c>
      <c r="B178" s="3" t="n">
        <v>227.9199981689453</v>
      </c>
      <c r="C178" s="4">
        <f>LN(B178/B177)</f>
        <v/>
      </c>
      <c r="D178" s="4">
        <f>SMALL(C$3:C$254, ROW()-2)</f>
        <v/>
      </c>
    </row>
    <row r="179">
      <c r="A179" t="inlineStr">
        <is>
          <t>2025-12-10</t>
        </is>
      </c>
      <c r="B179" s="3" t="n">
        <v>231.7799987792969</v>
      </c>
      <c r="C179" s="4">
        <f>LN(B179/B178)</f>
        <v/>
      </c>
      <c r="D179" s="4">
        <f>SMALL(C$3:C$254, ROW()-2)</f>
        <v/>
      </c>
    </row>
    <row r="180">
      <c r="A180" t="inlineStr">
        <is>
          <t>2025-12-11</t>
        </is>
      </c>
      <c r="B180" s="3" t="n">
        <v>230.2799987792969</v>
      </c>
      <c r="C180" s="4">
        <f>LN(B180/B179)</f>
        <v/>
      </c>
      <c r="D180" s="4">
        <f>SMALL(C$3:C$254, ROW()-2)</f>
        <v/>
      </c>
    </row>
    <row r="181">
      <c r="A181" t="inlineStr">
        <is>
          <t>2025-12-12</t>
        </is>
      </c>
      <c r="B181" s="3" t="n">
        <v>226.1900024414062</v>
      </c>
      <c r="C181" s="4">
        <f>LN(B181/B180)</f>
        <v/>
      </c>
      <c r="D181" s="4">
        <f>SMALL(C$3:C$254, ROW()-2)</f>
        <v/>
      </c>
    </row>
    <row r="182">
      <c r="A182" t="inlineStr">
        <is>
          <t>2025-12-15</t>
        </is>
      </c>
      <c r="B182" s="3" t="n">
        <v>222.5399932861328</v>
      </c>
      <c r="C182" s="4">
        <f>LN(B182/B181)</f>
        <v/>
      </c>
      <c r="D182" s="4">
        <f>SMALL(C$3:C$254, ROW()-2)</f>
        <v/>
      </c>
    </row>
    <row r="183">
      <c r="A183" t="inlineStr">
        <is>
          <t>2025-12-16</t>
        </is>
      </c>
      <c r="B183" s="3" t="n">
        <v>222.5599975585938</v>
      </c>
      <c r="C183" s="4">
        <f>LN(B183/B182)</f>
        <v/>
      </c>
      <c r="D183" s="4">
        <f>SMALL(C$3:C$254, ROW()-2)</f>
        <v/>
      </c>
    </row>
    <row r="184">
      <c r="A184" t="inlineStr">
        <is>
          <t>2025-12-17</t>
        </is>
      </c>
      <c r="B184" s="3" t="n">
        <v>221.2700042724609</v>
      </c>
      <c r="C184" s="4">
        <f>LN(B184/B183)</f>
        <v/>
      </c>
      <c r="D184" s="4">
        <f>SMALL(C$3:C$254, ROW()-2)</f>
        <v/>
      </c>
    </row>
    <row r="185">
      <c r="A185" t="inlineStr">
        <is>
          <t>2025-12-18</t>
        </is>
      </c>
      <c r="B185" s="3" t="n">
        <v>226.7599945068359</v>
      </c>
      <c r="C185" s="4">
        <f>LN(B185/B184)</f>
        <v/>
      </c>
      <c r="D185" s="4">
        <f>SMALL(C$3:C$254, ROW()-2)</f>
        <v/>
      </c>
    </row>
    <row r="186">
      <c r="A186" t="inlineStr">
        <is>
          <t>2025-12-19</t>
        </is>
      </c>
      <c r="B186" s="3" t="n">
        <v>227.3500061035156</v>
      </c>
      <c r="C186" s="4">
        <f>LN(B186/B185)</f>
        <v/>
      </c>
      <c r="D186" s="4">
        <f>SMALL(C$3:C$254, ROW()-2)</f>
        <v/>
      </c>
    </row>
    <row r="187">
      <c r="A187" t="inlineStr">
        <is>
          <t>2025-12-22</t>
        </is>
      </c>
      <c r="B187" s="3" t="n">
        <v>228.4299926757812</v>
      </c>
      <c r="C187" s="4">
        <f>LN(B187/B186)</f>
        <v/>
      </c>
      <c r="D187" s="4">
        <f>SMALL(C$3:C$254, ROW()-2)</f>
        <v/>
      </c>
    </row>
    <row r="188">
      <c r="A188" t="inlineStr">
        <is>
          <t>2025-12-23</t>
        </is>
      </c>
      <c r="B188" s="3" t="n">
        <v>232.1399993896484</v>
      </c>
      <c r="C188" s="4">
        <f>LN(B188/B187)</f>
        <v/>
      </c>
      <c r="D188" s="4">
        <f>SMALL(C$3:C$254, ROW()-2)</f>
        <v/>
      </c>
    </row>
    <row r="189">
      <c r="A189" t="inlineStr">
        <is>
          <t>2025-12-24</t>
        </is>
      </c>
      <c r="B189" s="3" t="n">
        <v>232.3800048828125</v>
      </c>
      <c r="C189" s="4">
        <f>LN(B189/B188)</f>
        <v/>
      </c>
      <c r="D189" s="4">
        <f>SMALL(C$3:C$254, ROW()-2)</f>
        <v/>
      </c>
    </row>
    <row r="190">
      <c r="A190" t="inlineStr">
        <is>
          <t>2025-12-26</t>
        </is>
      </c>
      <c r="B190" s="3" t="n">
        <v>232.5200042724609</v>
      </c>
      <c r="C190" s="4">
        <f>LN(B190/B189)</f>
        <v/>
      </c>
      <c r="D190" s="4">
        <f>SMALL(C$3:C$254, ROW()-2)</f>
        <v/>
      </c>
    </row>
    <row r="191">
      <c r="A191" t="inlineStr">
        <is>
          <t>2025-12-29</t>
        </is>
      </c>
      <c r="B191" s="3" t="n">
        <v>232.0700073242188</v>
      </c>
      <c r="C191" s="4">
        <f>LN(B191/B190)</f>
        <v/>
      </c>
      <c r="D191" s="4">
        <f>SMALL(C$3:C$254, ROW()-2)</f>
        <v/>
      </c>
    </row>
    <row r="192">
      <c r="A192" t="inlineStr">
        <is>
          <t>2025-12-30</t>
        </is>
      </c>
      <c r="B192" s="3" t="n">
        <v>232.5299987792969</v>
      </c>
      <c r="C192" s="4">
        <f>LN(B192/B191)</f>
        <v/>
      </c>
      <c r="D192" s="4">
        <f>SMALL(C$3:C$254, ROW()-2)</f>
        <v/>
      </c>
    </row>
    <row r="193">
      <c r="A193" t="inlineStr">
        <is>
          <t>2025-12-31</t>
        </is>
      </c>
      <c r="B193" s="3" t="n">
        <v>230.8200073242188</v>
      </c>
      <c r="C193" s="4">
        <f>LN(B193/B192)</f>
        <v/>
      </c>
      <c r="D193" s="4">
        <f>SMALL(C$3:C$254, ROW()-2)</f>
        <v/>
      </c>
    </row>
    <row r="194">
      <c r="A194" t="inlineStr">
        <is>
          <t>2026-01-02</t>
        </is>
      </c>
      <c r="B194" s="3" t="n">
        <v>226.5</v>
      </c>
      <c r="C194" s="4">
        <f>LN(B194/B193)</f>
        <v/>
      </c>
      <c r="D194" s="4">
        <f>SMALL(C$3:C$254, ROW()-2)</f>
        <v/>
      </c>
    </row>
    <row r="195">
      <c r="A195" t="inlineStr">
        <is>
          <t>2026-01-05</t>
        </is>
      </c>
      <c r="B195" s="3" t="n">
        <v>233.0599975585938</v>
      </c>
      <c r="C195" s="4">
        <f>LN(B195/B194)</f>
        <v/>
      </c>
      <c r="D195" s="4">
        <f>SMALL(C$3:C$254, ROW()-2)</f>
        <v/>
      </c>
    </row>
    <row r="196">
      <c r="A196" t="inlineStr">
        <is>
          <t>2026-01-06</t>
        </is>
      </c>
      <c r="B196" s="3" t="n">
        <v>240.9299926757812</v>
      </c>
      <c r="C196" s="4">
        <f>LN(B196/B195)</f>
        <v/>
      </c>
      <c r="D196" s="4">
        <f>SMALL(C$3:C$254, ROW()-2)</f>
        <v/>
      </c>
    </row>
    <row r="197">
      <c r="A197" t="inlineStr">
        <is>
          <t>2026-01-07</t>
        </is>
      </c>
      <c r="B197" s="3" t="n">
        <v>241.5599975585938</v>
      </c>
      <c r="C197" s="4">
        <f>LN(B197/B196)</f>
        <v/>
      </c>
      <c r="D197" s="4">
        <f>SMALL(C$3:C$254, ROW()-2)</f>
        <v/>
      </c>
    </row>
    <row r="198">
      <c r="A198" t="inlineStr">
        <is>
          <t>2026-01-08</t>
        </is>
      </c>
      <c r="B198" s="3" t="n">
        <v>246.2899932861328</v>
      </c>
      <c r="C198" s="4">
        <f>LN(B198/B197)</f>
        <v/>
      </c>
      <c r="D198" s="4">
        <f>SMALL(C$3:C$254, ROW()-2)</f>
        <v/>
      </c>
    </row>
    <row r="199">
      <c r="A199" t="inlineStr">
        <is>
          <t>2026-01-09</t>
        </is>
      </c>
      <c r="B199" s="3" t="n">
        <v>247.3800048828125</v>
      </c>
      <c r="C199" s="4">
        <f>LN(B199/B198)</f>
        <v/>
      </c>
      <c r="D199" s="4">
        <f>SMALL(C$3:C$254, ROW()-2)</f>
        <v/>
      </c>
    </row>
    <row r="200">
      <c r="A200" t="inlineStr">
        <is>
          <t>2026-01-12</t>
        </is>
      </c>
      <c r="B200" s="3" t="n">
        <v>246.4700012207031</v>
      </c>
      <c r="C200" s="4">
        <f>LN(B200/B199)</f>
        <v/>
      </c>
      <c r="D200" s="4">
        <f>SMALL(C$3:C$254, ROW()-2)</f>
        <v/>
      </c>
    </row>
    <row r="201">
      <c r="A201" t="inlineStr">
        <is>
          <t>2026-01-13</t>
        </is>
      </c>
      <c r="B201" s="3" t="n">
        <v>242.6000061035156</v>
      </c>
      <c r="C201" s="4">
        <f>LN(B201/B200)</f>
        <v/>
      </c>
      <c r="D201" s="4">
        <f>SMALL(C$3:C$254, ROW()-2)</f>
        <v/>
      </c>
    </row>
    <row r="202">
      <c r="A202" t="inlineStr">
        <is>
          <t>2026-01-14</t>
        </is>
      </c>
      <c r="B202" s="3" t="n">
        <v>236.6499938964844</v>
      </c>
      <c r="C202" s="4">
        <f>LN(B202/B201)</f>
        <v/>
      </c>
      <c r="D202" s="4">
        <f>SMALL(C$3:C$254, ROW()-2)</f>
        <v/>
      </c>
    </row>
    <row r="203">
      <c r="A203" t="inlineStr">
        <is>
          <t>2026-01-15</t>
        </is>
      </c>
      <c r="B203" s="3" t="n">
        <v>238.1799926757812</v>
      </c>
      <c r="C203" s="4">
        <f>LN(B203/B202)</f>
        <v/>
      </c>
      <c r="D203" s="4">
        <f>SMALL(C$3:C$254, ROW()-2)</f>
        <v/>
      </c>
    </row>
    <row r="204">
      <c r="A204" t="inlineStr">
        <is>
          <t>2026-01-16</t>
        </is>
      </c>
      <c r="B204" s="3" t="n">
        <v>239.1199951171875</v>
      </c>
      <c r="C204" s="4">
        <f>LN(B204/B203)</f>
        <v/>
      </c>
      <c r="D204" s="4">
        <f>SMALL(C$3:C$254, ROW()-2)</f>
        <v/>
      </c>
    </row>
    <row r="205">
      <c r="A205" t="inlineStr">
        <is>
          <t>2026-01-20</t>
        </is>
      </c>
      <c r="B205" s="3" t="n">
        <v>231</v>
      </c>
      <c r="C205" s="4">
        <f>LN(B205/B204)</f>
        <v/>
      </c>
      <c r="D205" s="4">
        <f>SMALL(C$3:C$254, ROW()-2)</f>
        <v/>
      </c>
    </row>
    <row r="206">
      <c r="A206" t="inlineStr">
        <is>
          <t>2026-01-21</t>
        </is>
      </c>
      <c r="B206" s="3" t="n">
        <v>231.3099975585938</v>
      </c>
      <c r="C206" s="4">
        <f>LN(B206/B205)</f>
        <v/>
      </c>
      <c r="D206" s="4">
        <f>SMALL(C$3:C$254, ROW()-2)</f>
        <v/>
      </c>
    </row>
    <row r="207">
      <c r="A207" t="inlineStr">
        <is>
          <t>2026-01-22</t>
        </is>
      </c>
      <c r="B207" s="3" t="n">
        <v>234.3399963378906</v>
      </c>
      <c r="C207" s="4">
        <f>LN(B207/B206)</f>
        <v/>
      </c>
      <c r="D207" s="4">
        <f>SMALL(C$3:C$254, ROW()-2)</f>
        <v/>
      </c>
    </row>
    <row r="208">
      <c r="A208" t="inlineStr">
        <is>
          <t>2026-01-23</t>
        </is>
      </c>
      <c r="B208" s="3" t="n">
        <v>239.1600036621094</v>
      </c>
      <c r="C208" s="4">
        <f>LN(B208/B207)</f>
        <v/>
      </c>
      <c r="D208" s="4">
        <f>SMALL(C$3:C$254, ROW()-2)</f>
        <v/>
      </c>
    </row>
    <row r="209">
      <c r="A209" t="inlineStr">
        <is>
          <t>2026-01-26</t>
        </is>
      </c>
      <c r="B209" s="3" t="n">
        <v>238.4199981689453</v>
      </c>
      <c r="C209" s="4">
        <f>LN(B209/B208)</f>
        <v/>
      </c>
      <c r="D209" s="4">
        <f>SMALL(C$3:C$254, ROW()-2)</f>
        <v/>
      </c>
    </row>
    <row r="210">
      <c r="A210" t="inlineStr">
        <is>
          <t>2026-01-27</t>
        </is>
      </c>
      <c r="B210" s="3" t="n">
        <v>244.6799926757812</v>
      </c>
      <c r="C210" s="4">
        <f>LN(B210/B209)</f>
        <v/>
      </c>
      <c r="D210" s="4">
        <f>SMALL(C$3:C$254, ROW()-2)</f>
        <v/>
      </c>
    </row>
    <row r="211">
      <c r="A211" t="inlineStr">
        <is>
          <t>2026-01-28</t>
        </is>
      </c>
      <c r="B211" s="3" t="n">
        <v>243.0099945068359</v>
      </c>
      <c r="C211" s="4">
        <f>LN(B211/B210)</f>
        <v/>
      </c>
      <c r="D211" s="4">
        <f>SMALL(C$3:C$254, ROW()-2)</f>
        <v/>
      </c>
    </row>
    <row r="212">
      <c r="A212" t="inlineStr">
        <is>
          <t>2026-01-29</t>
        </is>
      </c>
      <c r="B212" s="3" t="n">
        <v>241.7299957275391</v>
      </c>
      <c r="C212" s="4">
        <f>LN(B212/B211)</f>
        <v/>
      </c>
      <c r="D212" s="4">
        <f>SMALL(C$3:C$254, ROW()-2)</f>
        <v/>
      </c>
    </row>
    <row r="213">
      <c r="A213" t="inlineStr">
        <is>
          <t>2026-01-30</t>
        </is>
      </c>
      <c r="B213" s="3" t="n">
        <v>239.3000030517578</v>
      </c>
      <c r="C213" s="4">
        <f>LN(B213/B212)</f>
        <v/>
      </c>
      <c r="D213" s="4">
        <f>SMALL(C$3:C$254, ROW()-2)</f>
        <v/>
      </c>
    </row>
    <row r="214">
      <c r="A214" t="inlineStr">
        <is>
          <t>2026-02-02</t>
        </is>
      </c>
      <c r="B214" s="3" t="n">
        <v>242.9600067138672</v>
      </c>
      <c r="C214" s="4">
        <f>LN(B214/B213)</f>
        <v/>
      </c>
      <c r="D214" s="4">
        <f>SMALL(C$3:C$254, ROW()-2)</f>
        <v/>
      </c>
    </row>
    <row r="215">
      <c r="A215" t="inlineStr">
        <is>
          <t>2026-02-03</t>
        </is>
      </c>
      <c r="B215" s="3" t="n">
        <v>238.6199951171875</v>
      </c>
      <c r="C215" s="4">
        <f>LN(B215/B214)</f>
        <v/>
      </c>
      <c r="D215" s="4">
        <f>SMALL(C$3:C$254, ROW()-2)</f>
        <v/>
      </c>
    </row>
    <row r="216">
      <c r="A216" t="inlineStr">
        <is>
          <t>2026-02-04</t>
        </is>
      </c>
      <c r="B216" s="3" t="n">
        <v>232.9900054931641</v>
      </c>
      <c r="C216" s="4">
        <f>LN(B216/B215)</f>
        <v/>
      </c>
      <c r="D216" s="4">
        <f>SMALL(C$3:C$254, ROW()-2)</f>
        <v/>
      </c>
    </row>
    <row r="217">
      <c r="A217" t="inlineStr">
        <is>
          <t>2026-02-05</t>
        </is>
      </c>
      <c r="B217" s="3" t="n">
        <v>222.6900024414062</v>
      </c>
      <c r="C217" s="4">
        <f>LN(B217/B216)</f>
        <v/>
      </c>
      <c r="D217" s="4">
        <f>SMALL(C$3:C$254, ROW()-2)</f>
        <v/>
      </c>
    </row>
    <row r="218">
      <c r="A218" t="inlineStr">
        <is>
          <t>2026-02-06</t>
        </is>
      </c>
      <c r="B218" s="3" t="n">
        <v>210.3200073242188</v>
      </c>
      <c r="C218" s="4">
        <f>LN(B218/B217)</f>
        <v/>
      </c>
      <c r="D218" s="4">
        <f>SMALL(C$3:C$254, ROW()-2)</f>
        <v/>
      </c>
    </row>
    <row r="219">
      <c r="A219" t="inlineStr">
        <is>
          <t>2026-02-09</t>
        </is>
      </c>
      <c r="B219" s="3" t="n">
        <v>208.7200012207031</v>
      </c>
      <c r="C219" s="4">
        <f>LN(B219/B218)</f>
        <v/>
      </c>
      <c r="D219" s="4">
        <f>SMALL(C$3:C$254, ROW()-2)</f>
        <v/>
      </c>
    </row>
    <row r="220">
      <c r="A220" t="inlineStr">
        <is>
          <t>2026-02-10</t>
        </is>
      </c>
      <c r="B220" s="3" t="n">
        <v>206.9600067138672</v>
      </c>
      <c r="C220" s="4">
        <f>LN(B220/B219)</f>
        <v/>
      </c>
      <c r="D220" s="4">
        <f>SMALL(C$3:C$254, ROW()-2)</f>
        <v/>
      </c>
    </row>
    <row r="221">
      <c r="A221" t="inlineStr">
        <is>
          <t>2026-02-11</t>
        </is>
      </c>
      <c r="B221" s="3" t="n">
        <v>204.0800018310547</v>
      </c>
      <c r="C221" s="4">
        <f>LN(B221/B220)</f>
        <v/>
      </c>
      <c r="D221" s="4">
        <f>SMALL(C$3:C$254, ROW()-2)</f>
        <v/>
      </c>
    </row>
    <row r="222">
      <c r="A222" t="inlineStr">
        <is>
          <t>2026-02-12</t>
        </is>
      </c>
      <c r="B222" s="3" t="n">
        <v>199.6000061035156</v>
      </c>
      <c r="C222" s="4">
        <f>LN(B222/B221)</f>
        <v/>
      </c>
      <c r="D222" s="4">
        <f>SMALL(C$3:C$254, ROW()-2)</f>
        <v/>
      </c>
    </row>
    <row r="223">
      <c r="A223" t="inlineStr">
        <is>
          <t>2026-02-13</t>
        </is>
      </c>
      <c r="B223" s="3" t="n">
        <v>198.7899932861328</v>
      </c>
      <c r="C223" s="4">
        <f>LN(B223/B222)</f>
        <v/>
      </c>
      <c r="D223" s="4">
        <f>SMALL(C$3:C$254, ROW()-2)</f>
        <v/>
      </c>
    </row>
    <row r="224">
      <c r="A224" t="inlineStr">
        <is>
          <t>2026-02-17</t>
        </is>
      </c>
      <c r="B224" s="3" t="n">
        <v>201.1499938964844</v>
      </c>
      <c r="C224" s="4">
        <f>LN(B224/B223)</f>
        <v/>
      </c>
      <c r="D224" s="4">
        <f>SMALL(C$3:C$254, ROW()-2)</f>
        <v/>
      </c>
    </row>
    <row r="225">
      <c r="A225" t="inlineStr">
        <is>
          <t>2026-02-18</t>
        </is>
      </c>
      <c r="B225" s="3" t="n">
        <v>204.7899932861328</v>
      </c>
      <c r="C225" s="4">
        <f>LN(B225/B224)</f>
        <v/>
      </c>
      <c r="D225" s="4">
        <f>SMALL(C$3:C$254, ROW()-2)</f>
        <v/>
      </c>
    </row>
    <row r="226">
      <c r="A226" t="inlineStr">
        <is>
          <t>2026-02-19</t>
        </is>
      </c>
      <c r="B226" s="3" t="n">
        <v>204.8600006103516</v>
      </c>
      <c r="C226" s="4">
        <f>LN(B226/B225)</f>
        <v/>
      </c>
      <c r="D226" s="4">
        <f>SMALL(C$3:C$254, ROW()-2)</f>
        <v/>
      </c>
    </row>
    <row r="227">
      <c r="A227" t="inlineStr">
        <is>
          <t>2026-02-20</t>
        </is>
      </c>
      <c r="B227" s="3" t="n">
        <v>210.1100006103516</v>
      </c>
      <c r="C227" s="4">
        <f>LN(B227/B226)</f>
        <v/>
      </c>
      <c r="D227" s="4">
        <f>SMALL(C$3:C$254, ROW()-2)</f>
        <v/>
      </c>
    </row>
    <row r="228">
      <c r="A228" t="inlineStr">
        <is>
          <t>2026-02-23</t>
        </is>
      </c>
      <c r="B228" s="3" t="n">
        <v>205.2700042724609</v>
      </c>
      <c r="C228" s="4">
        <f>LN(B228/B227)</f>
        <v/>
      </c>
      <c r="D228" s="4">
        <f>SMALL(C$3:C$254, ROW()-2)</f>
        <v/>
      </c>
    </row>
    <row r="229">
      <c r="A229" t="inlineStr">
        <is>
          <t>2026-02-24</t>
        </is>
      </c>
      <c r="B229" s="3" t="n">
        <v>208.5599975585938</v>
      </c>
      <c r="C229" s="4">
        <f>LN(B229/B228)</f>
        <v/>
      </c>
      <c r="D229" s="4">
        <f>SMALL(C$3:C$254, ROW()-2)</f>
        <v/>
      </c>
    </row>
    <row r="230">
      <c r="A230" t="inlineStr">
        <is>
          <t>2026-02-25</t>
        </is>
      </c>
      <c r="B230" s="3" t="n">
        <v>210.6399993896484</v>
      </c>
      <c r="C230" s="4">
        <f>LN(B230/B229)</f>
        <v/>
      </c>
      <c r="D230" s="4">
        <f>SMALL(C$3:C$254, ROW()-2)</f>
        <v/>
      </c>
    </row>
    <row r="231">
      <c r="A231" t="inlineStr">
        <is>
          <t>2026-02-26</t>
        </is>
      </c>
      <c r="B231" s="3" t="n">
        <v>207.9199981689453</v>
      </c>
      <c r="C231" s="4">
        <f>LN(B231/B230)</f>
        <v/>
      </c>
      <c r="D231" s="4">
        <f>SMALL(C$3:C$254, ROW()-2)</f>
        <v/>
      </c>
    </row>
    <row r="232">
      <c r="A232" t="inlineStr">
        <is>
          <t>2026-02-27</t>
        </is>
      </c>
      <c r="B232" s="3" t="n">
        <v>210</v>
      </c>
      <c r="C232" s="4">
        <f>LN(B232/B231)</f>
        <v/>
      </c>
      <c r="D232" s="4">
        <f>SMALL(C$3:C$254, ROW()-2)</f>
        <v/>
      </c>
    </row>
    <row r="233">
      <c r="A233" t="inlineStr">
        <is>
          <t>2026-03-02</t>
        </is>
      </c>
      <c r="B233" s="3" t="n">
        <v>208.3899993896484</v>
      </c>
      <c r="C233" s="4">
        <f>LN(B233/B232)</f>
        <v/>
      </c>
      <c r="D233" s="4">
        <f>SMALL(C$3:C$254, ROW()-2)</f>
        <v/>
      </c>
    </row>
    <row r="234">
      <c r="A234" t="inlineStr">
        <is>
          <t>2026-03-03</t>
        </is>
      </c>
      <c r="B234" s="3" t="n">
        <v>208.7299957275391</v>
      </c>
      <c r="C234" s="4">
        <f>LN(B234/B233)</f>
        <v/>
      </c>
      <c r="D234" s="4">
        <f>SMALL(C$3:C$254, ROW()-2)</f>
        <v/>
      </c>
    </row>
    <row r="235">
      <c r="A235" t="inlineStr">
        <is>
          <t>2026-03-04</t>
        </is>
      </c>
      <c r="B235" s="3" t="n">
        <v>216.8200073242188</v>
      </c>
      <c r="C235" s="4">
        <f>LN(B235/B234)</f>
        <v/>
      </c>
      <c r="D235" s="4">
        <f>SMALL(C$3:C$254, ROW()-2)</f>
        <v/>
      </c>
    </row>
    <row r="236">
      <c r="A236" t="inlineStr">
        <is>
          <t>2026-03-05</t>
        </is>
      </c>
      <c r="B236" s="3" t="n">
        <v>218.9400024414062</v>
      </c>
      <c r="C236" s="4">
        <f>LN(B236/B235)</f>
        <v/>
      </c>
      <c r="D236" s="4">
        <f>SMALL(C$3:C$254, ROW()-2)</f>
        <v/>
      </c>
    </row>
    <row r="237">
      <c r="A237" t="inlineStr">
        <is>
          <t>2026-03-06</t>
        </is>
      </c>
      <c r="B237" s="3" t="n">
        <v>213.2100067138672</v>
      </c>
      <c r="C237" s="4">
        <f>LN(B237/B236)</f>
        <v/>
      </c>
      <c r="D237" s="4">
        <f>SMALL(C$3:C$254, ROW()-2)</f>
        <v/>
      </c>
    </row>
    <row r="238">
      <c r="A238" t="inlineStr">
        <is>
          <t>2026-03-09</t>
        </is>
      </c>
      <c r="B238" s="3" t="n">
        <v>213.4900054931641</v>
      </c>
      <c r="C238" s="4">
        <f>LN(B238/B237)</f>
        <v/>
      </c>
      <c r="D238" s="4">
        <f>SMALL(C$3:C$254, ROW()-2)</f>
        <v/>
      </c>
    </row>
    <row r="239">
      <c r="A239" t="inlineStr">
        <is>
          <t>2026-03-10</t>
        </is>
      </c>
      <c r="B239" s="3" t="n">
        <v>214.3300018310547</v>
      </c>
      <c r="C239" s="4">
        <f>LN(B239/B238)</f>
        <v/>
      </c>
      <c r="D239" s="4">
        <f>SMALL(C$3:C$254, ROW()-2)</f>
        <v/>
      </c>
    </row>
    <row r="240">
      <c r="A240" t="inlineStr">
        <is>
          <t>2026-03-11</t>
        </is>
      </c>
      <c r="B240" s="3" t="n">
        <v>212.6499938964844</v>
      </c>
      <c r="C240" s="4">
        <f>LN(B240/B239)</f>
        <v/>
      </c>
      <c r="D240" s="4">
        <f>SMALL(C$3:C$254, ROW()-2)</f>
        <v/>
      </c>
    </row>
    <row r="241">
      <c r="A241" t="inlineStr">
        <is>
          <t>2026-03-12</t>
        </is>
      </c>
      <c r="B241" s="3" t="n">
        <v>209.5299987792969</v>
      </c>
      <c r="C241" s="4">
        <f>LN(B241/B240)</f>
        <v/>
      </c>
      <c r="D241" s="4">
        <f>SMALL(C$3:C$254, ROW()-2)</f>
        <v/>
      </c>
    </row>
    <row r="242">
      <c r="A242" t="inlineStr">
        <is>
          <t>2026-03-13</t>
        </is>
      </c>
      <c r="B242" s="3" t="n">
        <v>207.6699981689453</v>
      </c>
      <c r="C242" s="4">
        <f>LN(B242/B241)</f>
        <v/>
      </c>
      <c r="D242" s="4">
        <f>SMALL(C$3:C$254, ROW()-2)</f>
        <v/>
      </c>
    </row>
    <row r="243">
      <c r="A243" t="inlineStr">
        <is>
          <t>2026-03-16</t>
        </is>
      </c>
      <c r="B243" s="3" t="n">
        <v>211.7400054931641</v>
      </c>
      <c r="C243" s="4">
        <f>LN(B243/B242)</f>
        <v/>
      </c>
      <c r="D243" s="4">
        <f>SMALL(C$3:C$254, ROW()-2)</f>
        <v/>
      </c>
    </row>
    <row r="244">
      <c r="A244" t="inlineStr">
        <is>
          <t>2026-03-17</t>
        </is>
      </c>
      <c r="B244" s="3" t="n">
        <v>215.1999969482422</v>
      </c>
      <c r="C244" s="4">
        <f>LN(B244/B243)</f>
        <v/>
      </c>
      <c r="D244" s="4">
        <f>SMALL(C$3:C$254, ROW()-2)</f>
        <v/>
      </c>
    </row>
    <row r="245">
      <c r="A245" t="inlineStr">
        <is>
          <t>2026-03-18</t>
        </is>
      </c>
      <c r="B245" s="3" t="n">
        <v>209.8699951171875</v>
      </c>
      <c r="C245" s="4">
        <f>LN(B245/B244)</f>
        <v/>
      </c>
      <c r="D245" s="4">
        <f>SMALL(C$3:C$254, ROW()-2)</f>
        <v/>
      </c>
    </row>
    <row r="246">
      <c r="A246" t="inlineStr">
        <is>
          <t>2026-03-19</t>
        </is>
      </c>
      <c r="B246" s="3" t="n">
        <v>208.7599945068359</v>
      </c>
      <c r="C246" s="4">
        <f>LN(B246/B245)</f>
        <v/>
      </c>
      <c r="D246" s="4">
        <f>SMALL(C$3:C$254, ROW()-2)</f>
        <v/>
      </c>
    </row>
    <row r="247">
      <c r="A247" t="inlineStr">
        <is>
          <t>2026-03-20</t>
        </is>
      </c>
      <c r="B247" s="3" t="n">
        <v>205.3699951171875</v>
      </c>
      <c r="C247" s="4">
        <f>LN(B247/B246)</f>
        <v/>
      </c>
      <c r="D247" s="4">
        <f>SMALL(C$3:C$254, ROW()-2)</f>
        <v/>
      </c>
    </row>
    <row r="248">
      <c r="A248" t="inlineStr">
        <is>
          <t>2026-03-23</t>
        </is>
      </c>
      <c r="B248" s="3" t="n">
        <v>210.1399993896484</v>
      </c>
      <c r="C248" s="4">
        <f>LN(B248/B247)</f>
        <v/>
      </c>
      <c r="D248" s="4">
        <f>SMALL(C$3:C$254, ROW()-2)</f>
        <v/>
      </c>
    </row>
    <row r="249">
      <c r="A249" t="inlineStr">
        <is>
          <t>2026-03-24</t>
        </is>
      </c>
      <c r="B249" s="3" t="n">
        <v>207.2400054931641</v>
      </c>
      <c r="C249" s="4">
        <f>LN(B249/B248)</f>
        <v/>
      </c>
      <c r="D249" s="4">
        <f>SMALL(C$3:C$254, ROW()-2)</f>
        <v/>
      </c>
    </row>
    <row r="250">
      <c r="A250" t="inlineStr">
        <is>
          <t>2026-03-25</t>
        </is>
      </c>
      <c r="B250" s="3" t="n">
        <v>211.7100067138672</v>
      </c>
      <c r="C250" s="4">
        <f>LN(B250/B249)</f>
        <v/>
      </c>
      <c r="D250" s="4">
        <f>SMALL(C$3:C$254, ROW()-2)</f>
        <v/>
      </c>
    </row>
    <row r="251">
      <c r="A251" t="inlineStr">
        <is>
          <t>2026-03-26</t>
        </is>
      </c>
      <c r="B251" s="3" t="n">
        <v>207.5399932861328</v>
      </c>
      <c r="C251" s="4">
        <f>LN(B251/B250)</f>
        <v/>
      </c>
      <c r="D251" s="4">
        <f>SMALL(C$3:C$254, ROW()-2)</f>
        <v/>
      </c>
    </row>
    <row r="252">
      <c r="A252" t="inlineStr">
        <is>
          <t>2026-03-27</t>
        </is>
      </c>
      <c r="B252" s="3" t="n">
        <v>199.3399963378906</v>
      </c>
      <c r="C252" s="4">
        <f>LN(B252/B251)</f>
        <v/>
      </c>
      <c r="D252" s="4">
        <f>SMALL(C$3:C$254, ROW()-2)</f>
        <v/>
      </c>
    </row>
    <row r="253">
      <c r="A253" t="inlineStr">
        <is>
          <t>2026-03-30</t>
        </is>
      </c>
      <c r="B253" s="3" t="n">
        <v>200.9499969482422</v>
      </c>
      <c r="C253" s="4">
        <f>LN(B253/B252)</f>
        <v/>
      </c>
      <c r="D253" s="4">
        <f>SMALL(C$3:C$254, ROW()-2)</f>
        <v/>
      </c>
    </row>
    <row r="254">
      <c r="A254" t="inlineStr">
        <is>
          <t>2026-03-31</t>
        </is>
      </c>
      <c r="B254" s="3" t="n">
        <v>208.2700042724609</v>
      </c>
      <c r="C254" s="4">
        <f>LN(B254/B253)</f>
        <v/>
      </c>
      <c r="D254" s="4">
        <f>SMALL(C$3:C$254, ROW()-2)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5" customWidth="1" min="5" max="5"/>
    <col width="5" customWidth="1" min="6" max="6"/>
    <col width="27" customWidth="1" min="7" max="7"/>
    <col width="24" customWidth="1" min="8" max="8"/>
    <col width="24" customWidth="1" min="9" max="9"/>
  </cols>
  <sheetData>
    <row r="1">
      <c r="A1" s="1" t="inlineStr">
        <is>
          <t>Date</t>
        </is>
      </c>
      <c r="B1" s="2" t="inlineStr">
        <is>
          <t>Close Price</t>
        </is>
      </c>
      <c r="C1" s="2" t="inlineStr">
        <is>
          <t>Daily Log Return</t>
        </is>
      </c>
      <c r="D1" s="2" t="inlineStr">
        <is>
          <t>Sorted Return</t>
        </is>
      </c>
    </row>
    <row r="2">
      <c r="A2" t="inlineStr">
        <is>
          <t>2007-12-31</t>
        </is>
      </c>
      <c r="B2" s="3" t="n">
        <v>4.631999969482422</v>
      </c>
      <c r="G2" s="1" t="inlineStr">
        <is>
          <t>Parameter</t>
        </is>
      </c>
      <c r="H2" s="2" t="inlineStr">
        <is>
          <t>Value</t>
        </is>
      </c>
    </row>
    <row r="3">
      <c r="A3" t="inlineStr">
        <is>
          <t>2008-01-02</t>
        </is>
      </c>
      <c r="B3" s="3" t="n">
        <v>4.8125</v>
      </c>
      <c r="C3" s="4">
        <f>LN(B3/B2)</f>
        <v/>
      </c>
      <c r="D3" s="4">
        <f>SMALL(C$3:C$255, ROW()-2)</f>
        <v/>
      </c>
      <c r="G3" s="5" t="inlineStr">
        <is>
          <t>Method</t>
        </is>
      </c>
      <c r="H3" s="6" t="inlineStr">
        <is>
          <t>Parametric</t>
        </is>
      </c>
    </row>
    <row r="4">
      <c r="A4" t="inlineStr">
        <is>
          <t>2008-01-03</t>
        </is>
      </c>
      <c r="B4" s="3" t="n">
        <v>4.760499954223633</v>
      </c>
      <c r="C4" s="4">
        <f>LN(B4/B3)</f>
        <v/>
      </c>
      <c r="D4" s="7">
        <f>SMALL(C$3:C$255, ROW()-2)</f>
        <v/>
      </c>
      <c r="G4" s="5" t="inlineStr">
        <is>
          <t>Ticker</t>
        </is>
      </c>
      <c r="H4" s="6" t="inlineStr">
        <is>
          <t>AMZN</t>
        </is>
      </c>
    </row>
    <row r="5">
      <c r="A5" t="inlineStr">
        <is>
          <t>2008-01-04</t>
        </is>
      </c>
      <c r="B5" s="3" t="n">
        <v>4.439499855041504</v>
      </c>
      <c r="C5" s="4">
        <f>LN(B5/B4)</f>
        <v/>
      </c>
      <c r="D5" s="7">
        <f>SMALL(C$3:C$255, ROW()-2)</f>
        <v/>
      </c>
      <c r="G5" s="5" t="inlineStr">
        <is>
          <t>VaR Date</t>
        </is>
      </c>
      <c r="H5" s="6" t="inlineStr">
        <is>
          <t>2026-04-01</t>
        </is>
      </c>
    </row>
    <row r="6">
      <c r="A6" t="inlineStr">
        <is>
          <t>2008-01-07</t>
        </is>
      </c>
      <c r="B6" s="3" t="n">
        <v>4.440999984741211</v>
      </c>
      <c r="C6" s="4">
        <f>LN(B6/B5)</f>
        <v/>
      </c>
      <c r="D6" s="4">
        <f>SMALL(C$3:C$255, ROW()-2)</f>
        <v/>
      </c>
      <c r="G6" s="5" t="inlineStr">
        <is>
          <t>Portfolio Value ($)</t>
        </is>
      </c>
      <c r="H6" s="8" t="n">
        <v>1000000</v>
      </c>
    </row>
    <row r="7">
      <c r="A7" t="inlineStr">
        <is>
          <t>2008-01-08</t>
        </is>
      </c>
      <c r="B7" s="3" t="n">
        <v>4.394000053405762</v>
      </c>
      <c r="C7" s="4">
        <f>LN(B7/B6)</f>
        <v/>
      </c>
      <c r="D7" s="4">
        <f>SMALL(C$3:C$255, ROW()-2)</f>
        <v/>
      </c>
      <c r="G7" s="5" t="inlineStr">
        <is>
          <t>N-Day Horizon</t>
        </is>
      </c>
      <c r="H7" s="6" t="n">
        <v>10</v>
      </c>
    </row>
    <row r="8">
      <c r="A8" t="inlineStr">
        <is>
          <t>2008-01-09</t>
        </is>
      </c>
      <c r="B8" s="3" t="n">
        <v>4.261000156402588</v>
      </c>
      <c r="C8" s="4">
        <f>LN(B8/B7)</f>
        <v/>
      </c>
      <c r="D8" s="4">
        <f>SMALL(C$3:C$255, ROW()-2)</f>
        <v/>
      </c>
      <c r="G8" s="5" t="inlineStr">
        <is>
          <t>Stress Period Start Date</t>
        </is>
      </c>
      <c r="H8" s="6" t="inlineStr">
        <is>
          <t>2008-01-01</t>
        </is>
      </c>
    </row>
    <row r="9">
      <c r="A9" t="inlineStr">
        <is>
          <t>2008-01-10</t>
        </is>
      </c>
      <c r="B9" s="3" t="n">
        <v>4.212999820709229</v>
      </c>
      <c r="C9" s="4">
        <f>LN(B9/B8)</f>
        <v/>
      </c>
      <c r="D9" s="4">
        <f>SMALL(C$3:C$255, ROW()-2)</f>
        <v/>
      </c>
      <c r="G9" s="5" t="inlineStr">
        <is>
          <t>Stress Period End Date</t>
        </is>
      </c>
      <c r="H9" s="6" t="inlineStr">
        <is>
          <t>2008-12-31</t>
        </is>
      </c>
    </row>
    <row r="10">
      <c r="A10" t="inlineStr">
        <is>
          <t>2008-01-11</t>
        </is>
      </c>
      <c r="B10" s="3" t="n">
        <v>4.053999900817871</v>
      </c>
      <c r="C10" s="4">
        <f>LN(B10/B9)</f>
        <v/>
      </c>
      <c r="D10" s="4">
        <f>SMALL(C$3:C$255, ROW()-2)</f>
        <v/>
      </c>
      <c r="G10" s="5" t="inlineStr">
        <is>
          <t>Stress Period</t>
        </is>
      </c>
      <c r="H10" s="6" t="inlineStr">
        <is>
          <t>Global Financial Crisis (2008)</t>
        </is>
      </c>
    </row>
    <row r="11">
      <c r="A11" t="inlineStr">
        <is>
          <t>2008-01-14</t>
        </is>
      </c>
      <c r="B11" s="3" t="n">
        <v>4.143499851226807</v>
      </c>
      <c r="C11" s="4">
        <f>LN(B11/B10)</f>
        <v/>
      </c>
      <c r="D11" s="4">
        <f>SMALL(C$3:C$255, ROW()-2)</f>
        <v/>
      </c>
      <c r="G11" t="inlineStr"/>
      <c r="H11" t="inlineStr"/>
      <c r="I11" t="inlineStr"/>
    </row>
    <row r="12">
      <c r="A12" t="inlineStr">
        <is>
          <t>2008-01-15</t>
        </is>
      </c>
      <c r="B12" s="3" t="n">
        <v>4.01200008392334</v>
      </c>
      <c r="C12" s="4">
        <f>LN(B12/B11)</f>
        <v/>
      </c>
      <c r="D12" s="4">
        <f>SMALL(C$3:C$255, ROW()-2)</f>
        <v/>
      </c>
      <c r="G12" s="1" t="inlineStr">
        <is>
          <t>Standard Stressed Risk Summary</t>
        </is>
      </c>
      <c r="H12" s="2" t="inlineStr">
        <is>
          <t>99% VaR ($)</t>
        </is>
      </c>
      <c r="I12" s="2" t="inlineStr">
        <is>
          <t>97.5% ES ($)</t>
        </is>
      </c>
    </row>
    <row r="13">
      <c r="A13" t="inlineStr">
        <is>
          <t>2008-01-16</t>
        </is>
      </c>
      <c r="B13" s="3" t="n">
        <v>4.017499923706055</v>
      </c>
      <c r="C13" s="4">
        <f>LN(B13/B12)</f>
        <v/>
      </c>
      <c r="D13" s="4">
        <f>SMALL(C$3:C$255, ROW()-2)</f>
        <v/>
      </c>
      <c r="G13" s="5" t="inlineStr">
        <is>
          <t>1-Day</t>
        </is>
      </c>
      <c r="H13" s="8">
        <f>-$H$6*(AVERAGE(C$3:C$255)-_xlfn.NORM.S.INV(0.99)*_xlfn.STDEV.S(C$3:C$255))</f>
        <v/>
      </c>
      <c r="I13" s="8">
        <f>-$H$6*(AVERAGE(C$3:C$255)-_xlfn.STDEV.S(C$3:C$255)*_xlfn.NORM.DIST(_xlfn.NORM.S.INV(0.975),0,1,FALSE)/0.025)</f>
        <v/>
      </c>
    </row>
    <row r="14">
      <c r="A14" t="inlineStr">
        <is>
          <t>2008-01-17</t>
        </is>
      </c>
      <c r="B14" s="3" t="n">
        <v>4.00600004196167</v>
      </c>
      <c r="C14" s="4">
        <f>LN(B14/B13)</f>
        <v/>
      </c>
      <c r="D14" s="9">
        <f>SMALL(C$3:C$255, ROW()-2)</f>
        <v/>
      </c>
      <c r="G14" s="5" t="inlineStr">
        <is>
          <t>10-Day Scaled</t>
        </is>
      </c>
      <c r="H14" s="8">
        <f>H13 * SQRT(10)</f>
        <v/>
      </c>
      <c r="I14" s="8">
        <f>I13 * SQRT(10)</f>
        <v/>
      </c>
    </row>
    <row r="15">
      <c r="A15" t="inlineStr">
        <is>
          <t>2008-01-18</t>
        </is>
      </c>
      <c r="B15" s="3" t="n">
        <v>3.98799991607666</v>
      </c>
      <c r="C15" s="4">
        <f>LN(B15/B14)</f>
        <v/>
      </c>
      <c r="D15" s="9">
        <f>SMALL(C$3:C$255, ROW()-2)</f>
        <v/>
      </c>
    </row>
    <row r="16">
      <c r="A16" t="inlineStr">
        <is>
          <t>2008-01-22</t>
        </is>
      </c>
      <c r="B16" s="3" t="n">
        <v>3.924000024795532</v>
      </c>
      <c r="C16" s="4">
        <f>LN(B16/B15)</f>
        <v/>
      </c>
      <c r="D16" s="4">
        <f>SMALL(C$3:C$255, ROW()-2)</f>
        <v/>
      </c>
    </row>
    <row r="17">
      <c r="A17" t="inlineStr">
        <is>
          <t>2008-01-23</t>
        </is>
      </c>
      <c r="B17" s="3" t="n">
        <v>3.698499917984009</v>
      </c>
      <c r="C17" s="4">
        <f>LN(B17/B16)</f>
        <v/>
      </c>
      <c r="D17" s="4">
        <f>SMALL(C$3:C$255, ROW()-2)</f>
        <v/>
      </c>
    </row>
    <row r="18">
      <c r="A18" t="inlineStr">
        <is>
          <t>2008-01-24</t>
        </is>
      </c>
      <c r="B18" s="3" t="n">
        <v>3.883500099182129</v>
      </c>
      <c r="C18" s="4">
        <f>LN(B18/B17)</f>
        <v/>
      </c>
      <c r="D18" s="4">
        <f>SMALL(C$3:C$255, ROW()-2)</f>
        <v/>
      </c>
    </row>
    <row r="19">
      <c r="A19" t="inlineStr">
        <is>
          <t>2008-01-25</t>
        </is>
      </c>
      <c r="B19" s="3" t="n">
        <v>3.880000114440918</v>
      </c>
      <c r="C19" s="4">
        <f>LN(B19/B18)</f>
        <v/>
      </c>
      <c r="D19" s="4">
        <f>SMALL(C$3:C$255, ROW()-2)</f>
        <v/>
      </c>
    </row>
    <row r="20">
      <c r="A20" t="inlineStr">
        <is>
          <t>2008-01-28</t>
        </is>
      </c>
      <c r="B20" s="3" t="n">
        <v>3.790999889373779</v>
      </c>
      <c r="C20" s="4">
        <f>LN(B20/B19)</f>
        <v/>
      </c>
      <c r="D20" s="4">
        <f>SMALL(C$3:C$255, ROW()-2)</f>
        <v/>
      </c>
    </row>
    <row r="21">
      <c r="A21" t="inlineStr">
        <is>
          <t>2008-01-29</t>
        </is>
      </c>
      <c r="B21" s="3" t="n">
        <v>3.697499990463257</v>
      </c>
      <c r="C21" s="4">
        <f>LN(B21/B20)</f>
        <v/>
      </c>
      <c r="D21" s="4">
        <f>SMALL(C$3:C$255, ROW()-2)</f>
        <v/>
      </c>
    </row>
    <row r="22">
      <c r="A22" t="inlineStr">
        <is>
          <t>2008-01-30</t>
        </is>
      </c>
      <c r="B22" s="3" t="n">
        <v>3.710500001907349</v>
      </c>
      <c r="C22" s="4">
        <f>LN(B22/B21)</f>
        <v/>
      </c>
      <c r="D22" s="4">
        <f>SMALL(C$3:C$255, ROW()-2)</f>
        <v/>
      </c>
    </row>
    <row r="23">
      <c r="A23" t="inlineStr">
        <is>
          <t>2008-01-31</t>
        </is>
      </c>
      <c r="B23" s="3" t="n">
        <v>3.884999990463257</v>
      </c>
      <c r="C23" s="4">
        <f>LN(B23/B22)</f>
        <v/>
      </c>
      <c r="D23" s="4">
        <f>SMALL(C$3:C$255, ROW()-2)</f>
        <v/>
      </c>
    </row>
    <row r="24">
      <c r="A24" t="inlineStr">
        <is>
          <t>2008-02-01</t>
        </is>
      </c>
      <c r="B24" s="3" t="n">
        <v>3.731499910354614</v>
      </c>
      <c r="C24" s="4">
        <f>LN(B24/B23)</f>
        <v/>
      </c>
      <c r="D24" s="4">
        <f>SMALL(C$3:C$255, ROW()-2)</f>
        <v/>
      </c>
    </row>
    <row r="25">
      <c r="A25" t="inlineStr">
        <is>
          <t>2008-02-04</t>
        </is>
      </c>
      <c r="B25" s="3" t="n">
        <v>3.697499990463257</v>
      </c>
      <c r="C25" s="4">
        <f>LN(B25/B24)</f>
        <v/>
      </c>
      <c r="D25" s="4">
        <f>SMALL(C$3:C$255, ROW()-2)</f>
        <v/>
      </c>
    </row>
    <row r="26">
      <c r="A26" t="inlineStr">
        <is>
          <t>2008-02-05</t>
        </is>
      </c>
      <c r="B26" s="3" t="n">
        <v>3.60450005531311</v>
      </c>
      <c r="C26" s="4">
        <f>LN(B26/B25)</f>
        <v/>
      </c>
      <c r="D26" s="4">
        <f>SMALL(C$3:C$255, ROW()-2)</f>
        <v/>
      </c>
    </row>
    <row r="27">
      <c r="A27" t="inlineStr">
        <is>
          <t>2008-02-06</t>
        </is>
      </c>
      <c r="B27" s="3" t="n">
        <v>3.424499988555908</v>
      </c>
      <c r="C27" s="4">
        <f>LN(B27/B26)</f>
        <v/>
      </c>
      <c r="D27" s="4">
        <f>SMALL(C$3:C$255, ROW()-2)</f>
        <v/>
      </c>
    </row>
    <row r="28">
      <c r="A28" t="inlineStr">
        <is>
          <t>2008-02-07</t>
        </is>
      </c>
      <c r="B28" s="3" t="n">
        <v>3.545500040054321</v>
      </c>
      <c r="C28" s="4">
        <f>LN(B28/B27)</f>
        <v/>
      </c>
      <c r="D28" s="4">
        <f>SMALL(C$3:C$255, ROW()-2)</f>
        <v/>
      </c>
    </row>
    <row r="29">
      <c r="A29" t="inlineStr">
        <is>
          <t>2008-02-08</t>
        </is>
      </c>
      <c r="B29" s="3" t="n">
        <v>3.674999952316284</v>
      </c>
      <c r="C29" s="4">
        <f>LN(B29/B28)</f>
        <v/>
      </c>
      <c r="D29" s="4">
        <f>SMALL(C$3:C$255, ROW()-2)</f>
        <v/>
      </c>
    </row>
    <row r="30">
      <c r="A30" t="inlineStr">
        <is>
          <t>2008-02-11</t>
        </is>
      </c>
      <c r="B30" s="3" t="n">
        <v>3.759500026702881</v>
      </c>
      <c r="C30" s="4">
        <f>LN(B30/B29)</f>
        <v/>
      </c>
      <c r="D30" s="4">
        <f>SMALL(C$3:C$255, ROW()-2)</f>
        <v/>
      </c>
    </row>
    <row r="31">
      <c r="A31" t="inlineStr">
        <is>
          <t>2008-02-12</t>
        </is>
      </c>
      <c r="B31" s="3" t="n">
        <v>3.722500085830688</v>
      </c>
      <c r="C31" s="4">
        <f>LN(B31/B30)</f>
        <v/>
      </c>
      <c r="D31" s="4">
        <f>SMALL(C$3:C$255, ROW()-2)</f>
        <v/>
      </c>
    </row>
    <row r="32">
      <c r="A32" t="inlineStr">
        <is>
          <t>2008-02-13</t>
        </is>
      </c>
      <c r="B32" s="3" t="n">
        <v>3.886499881744385</v>
      </c>
      <c r="C32" s="4">
        <f>LN(B32/B31)</f>
        <v/>
      </c>
      <c r="D32" s="4">
        <f>SMALL(C$3:C$255, ROW()-2)</f>
        <v/>
      </c>
    </row>
    <row r="33">
      <c r="A33" t="inlineStr">
        <is>
          <t>2008-02-14</t>
        </is>
      </c>
      <c r="B33" s="3" t="n">
        <v>3.789999961853027</v>
      </c>
      <c r="C33" s="4">
        <f>LN(B33/B32)</f>
        <v/>
      </c>
      <c r="D33" s="4">
        <f>SMALL(C$3:C$255, ROW()-2)</f>
        <v/>
      </c>
    </row>
    <row r="34">
      <c r="A34" t="inlineStr">
        <is>
          <t>2008-02-15</t>
        </is>
      </c>
      <c r="B34" s="3" t="n">
        <v>3.648000001907349</v>
      </c>
      <c r="C34" s="4">
        <f>LN(B34/B33)</f>
        <v/>
      </c>
      <c r="D34" s="4">
        <f>SMALL(C$3:C$255, ROW()-2)</f>
        <v/>
      </c>
    </row>
    <row r="35">
      <c r="A35" t="inlineStr">
        <is>
          <t>2008-02-19</t>
        </is>
      </c>
      <c r="B35" s="3" t="n">
        <v>3.604000091552734</v>
      </c>
      <c r="C35" s="4">
        <f>LN(B35/B34)</f>
        <v/>
      </c>
      <c r="D35" s="4">
        <f>SMALL(C$3:C$255, ROW()-2)</f>
        <v/>
      </c>
    </row>
    <row r="36">
      <c r="A36" t="inlineStr">
        <is>
          <t>2008-02-20</t>
        </is>
      </c>
      <c r="B36" s="3" t="n">
        <v>3.681999921798706</v>
      </c>
      <c r="C36" s="4">
        <f>LN(B36/B35)</f>
        <v/>
      </c>
      <c r="D36" s="4">
        <f>SMALL(C$3:C$255, ROW()-2)</f>
        <v/>
      </c>
    </row>
    <row r="37">
      <c r="A37" t="inlineStr">
        <is>
          <t>2008-02-21</t>
        </is>
      </c>
      <c r="B37" s="3" t="n">
        <v>3.494999885559082</v>
      </c>
      <c r="C37" s="4">
        <f>LN(B37/B36)</f>
        <v/>
      </c>
      <c r="D37" s="4">
        <f>SMALL(C$3:C$255, ROW()-2)</f>
        <v/>
      </c>
    </row>
    <row r="38">
      <c r="A38" t="inlineStr">
        <is>
          <t>2008-02-22</t>
        </is>
      </c>
      <c r="B38" s="3" t="n">
        <v>3.604000091552734</v>
      </c>
      <c r="C38" s="4">
        <f>LN(B38/B37)</f>
        <v/>
      </c>
      <c r="D38" s="4">
        <f>SMALL(C$3:C$255, ROW()-2)</f>
        <v/>
      </c>
    </row>
    <row r="39">
      <c r="A39" t="inlineStr">
        <is>
          <t>2008-02-25</t>
        </is>
      </c>
      <c r="B39" s="3" t="n">
        <v>3.663500070571899</v>
      </c>
      <c r="C39" s="4">
        <f>LN(B39/B38)</f>
        <v/>
      </c>
      <c r="D39" s="4">
        <f>SMALL(C$3:C$255, ROW()-2)</f>
        <v/>
      </c>
    </row>
    <row r="40">
      <c r="A40" t="inlineStr">
        <is>
          <t>2008-02-26</t>
        </is>
      </c>
      <c r="B40" s="3" t="n">
        <v>3.584500074386597</v>
      </c>
      <c r="C40" s="4">
        <f>LN(B40/B39)</f>
        <v/>
      </c>
      <c r="D40" s="4">
        <f>SMALL(C$3:C$255, ROW()-2)</f>
        <v/>
      </c>
    </row>
    <row r="41">
      <c r="A41" t="inlineStr">
        <is>
          <t>2008-02-27</t>
        </is>
      </c>
      <c r="B41" s="3" t="n">
        <v>3.543499946594238</v>
      </c>
      <c r="C41" s="4">
        <f>LN(B41/B40)</f>
        <v/>
      </c>
      <c r="D41" s="4">
        <f>SMALL(C$3:C$255, ROW()-2)</f>
        <v/>
      </c>
    </row>
    <row r="42">
      <c r="A42" t="inlineStr">
        <is>
          <t>2008-02-28</t>
        </is>
      </c>
      <c r="B42" s="3" t="n">
        <v>3.392499923706055</v>
      </c>
      <c r="C42" s="4">
        <f>LN(B42/B41)</f>
        <v/>
      </c>
      <c r="D42" s="4">
        <f>SMALL(C$3:C$255, ROW()-2)</f>
        <v/>
      </c>
    </row>
    <row r="43">
      <c r="A43" t="inlineStr">
        <is>
          <t>2008-02-29</t>
        </is>
      </c>
      <c r="B43" s="3" t="n">
        <v>3.22350001335144</v>
      </c>
      <c r="C43" s="4">
        <f>LN(B43/B42)</f>
        <v/>
      </c>
      <c r="D43" s="4">
        <f>SMALL(C$3:C$255, ROW()-2)</f>
        <v/>
      </c>
    </row>
    <row r="44">
      <c r="A44" t="inlineStr">
        <is>
          <t>2008-03-03</t>
        </is>
      </c>
      <c r="B44" s="3" t="n">
        <v>3.121500015258789</v>
      </c>
      <c r="C44" s="4">
        <f>LN(B44/B43)</f>
        <v/>
      </c>
      <c r="D44" s="4">
        <f>SMALL(C$3:C$255, ROW()-2)</f>
        <v/>
      </c>
    </row>
    <row r="45">
      <c r="A45" t="inlineStr">
        <is>
          <t>2008-03-04</t>
        </is>
      </c>
      <c r="B45" s="3" t="n">
        <v>3.266999959945679</v>
      </c>
      <c r="C45" s="4">
        <f>LN(B45/B44)</f>
        <v/>
      </c>
      <c r="D45" s="4">
        <f>SMALL(C$3:C$255, ROW()-2)</f>
        <v/>
      </c>
    </row>
    <row r="46">
      <c r="A46" t="inlineStr">
        <is>
          <t>2008-03-05</t>
        </is>
      </c>
      <c r="B46" s="3" t="n">
        <v>3.249500036239624</v>
      </c>
      <c r="C46" s="4">
        <f>LN(B46/B45)</f>
        <v/>
      </c>
      <c r="D46" s="4">
        <f>SMALL(C$3:C$255, ROW()-2)</f>
        <v/>
      </c>
    </row>
    <row r="47">
      <c r="A47" t="inlineStr">
        <is>
          <t>2008-03-06</t>
        </is>
      </c>
      <c r="B47" s="3" t="n">
        <v>3.13700008392334</v>
      </c>
      <c r="C47" s="4">
        <f>LN(B47/B46)</f>
        <v/>
      </c>
      <c r="D47" s="4">
        <f>SMALL(C$3:C$255, ROW()-2)</f>
        <v/>
      </c>
    </row>
    <row r="48">
      <c r="A48" t="inlineStr">
        <is>
          <t>2008-03-07</t>
        </is>
      </c>
      <c r="B48" s="3" t="n">
        <v>3.204499959945679</v>
      </c>
      <c r="C48" s="4">
        <f>LN(B48/B47)</f>
        <v/>
      </c>
      <c r="D48" s="4">
        <f>SMALL(C$3:C$255, ROW()-2)</f>
        <v/>
      </c>
    </row>
    <row r="49">
      <c r="A49" t="inlineStr">
        <is>
          <t>2008-03-10</t>
        </is>
      </c>
      <c r="B49" s="3" t="n">
        <v>3.173500061035156</v>
      </c>
      <c r="C49" s="4">
        <f>LN(B49/B48)</f>
        <v/>
      </c>
      <c r="D49" s="4">
        <f>SMALL(C$3:C$255, ROW()-2)</f>
        <v/>
      </c>
    </row>
    <row r="50">
      <c r="A50" t="inlineStr">
        <is>
          <t>2008-03-11</t>
        </is>
      </c>
      <c r="B50" s="3" t="n">
        <v>3.357500076293945</v>
      </c>
      <c r="C50" s="4">
        <f>LN(B50/B49)</f>
        <v/>
      </c>
      <c r="D50" s="4">
        <f>SMALL(C$3:C$255, ROW()-2)</f>
        <v/>
      </c>
    </row>
    <row r="51">
      <c r="A51" t="inlineStr">
        <is>
          <t>2008-03-12</t>
        </is>
      </c>
      <c r="B51" s="3" t="n">
        <v>3.325500011444092</v>
      </c>
      <c r="C51" s="4">
        <f>LN(B51/B50)</f>
        <v/>
      </c>
      <c r="D51" s="4">
        <f>SMALL(C$3:C$255, ROW()-2)</f>
        <v/>
      </c>
    </row>
    <row r="52">
      <c r="A52" t="inlineStr">
        <is>
          <t>2008-03-13</t>
        </is>
      </c>
      <c r="B52" s="3" t="n">
        <v>3.415999889373779</v>
      </c>
      <c r="C52" s="4">
        <f>LN(B52/B51)</f>
        <v/>
      </c>
      <c r="D52" s="4">
        <f>SMALL(C$3:C$255, ROW()-2)</f>
        <v/>
      </c>
    </row>
    <row r="53">
      <c r="A53" t="inlineStr">
        <is>
          <t>2008-03-14</t>
        </is>
      </c>
      <c r="B53" s="3" t="n">
        <v>3.41100001335144</v>
      </c>
      <c r="C53" s="4">
        <f>LN(B53/B52)</f>
        <v/>
      </c>
      <c r="D53" s="4">
        <f>SMALL(C$3:C$255, ROW()-2)</f>
        <v/>
      </c>
    </row>
    <row r="54">
      <c r="A54" t="inlineStr">
        <is>
          <t>2008-03-17</t>
        </is>
      </c>
      <c r="B54" s="3" t="n">
        <v>3.326499938964844</v>
      </c>
      <c r="C54" s="4">
        <f>LN(B54/B53)</f>
        <v/>
      </c>
      <c r="D54" s="4">
        <f>SMALL(C$3:C$255, ROW()-2)</f>
        <v/>
      </c>
    </row>
    <row r="55">
      <c r="A55" t="inlineStr">
        <is>
          <t>2008-03-18</t>
        </is>
      </c>
      <c r="B55" s="3" t="n">
        <v>3.585000038146973</v>
      </c>
      <c r="C55" s="4">
        <f>LN(B55/B54)</f>
        <v/>
      </c>
      <c r="D55" s="4">
        <f>SMALL(C$3:C$255, ROW()-2)</f>
        <v/>
      </c>
    </row>
    <row r="56">
      <c r="A56" t="inlineStr">
        <is>
          <t>2008-03-19</t>
        </is>
      </c>
      <c r="B56" s="3" t="n">
        <v>3.508500099182129</v>
      </c>
      <c r="C56" s="4">
        <f>LN(B56/B55)</f>
        <v/>
      </c>
      <c r="D56" s="4">
        <f>SMALL(C$3:C$255, ROW()-2)</f>
        <v/>
      </c>
    </row>
    <row r="57">
      <c r="A57" t="inlineStr">
        <is>
          <t>2008-03-20</t>
        </is>
      </c>
      <c r="B57" s="3" t="n">
        <v>3.659499883651733</v>
      </c>
      <c r="C57" s="4">
        <f>LN(B57/B56)</f>
        <v/>
      </c>
      <c r="D57" s="4">
        <f>SMALL(C$3:C$255, ROW()-2)</f>
        <v/>
      </c>
    </row>
    <row r="58">
      <c r="A58" t="inlineStr">
        <is>
          <t>2008-03-24</t>
        </is>
      </c>
      <c r="B58" s="3" t="n">
        <v>3.797499895095825</v>
      </c>
      <c r="C58" s="4">
        <f>LN(B58/B57)</f>
        <v/>
      </c>
      <c r="D58" s="4">
        <f>SMALL(C$3:C$255, ROW()-2)</f>
        <v/>
      </c>
    </row>
    <row r="59">
      <c r="A59" t="inlineStr">
        <is>
          <t>2008-03-25</t>
        </is>
      </c>
      <c r="B59" s="3" t="n">
        <v>3.758500099182129</v>
      </c>
      <c r="C59" s="4">
        <f>LN(B59/B58)</f>
        <v/>
      </c>
      <c r="D59" s="4">
        <f>SMALL(C$3:C$255, ROW()-2)</f>
        <v/>
      </c>
    </row>
    <row r="60">
      <c r="A60" t="inlineStr">
        <is>
          <t>2008-03-26</t>
        </is>
      </c>
      <c r="B60" s="3" t="n">
        <v>3.690000057220459</v>
      </c>
      <c r="C60" s="4">
        <f>LN(B60/B59)</f>
        <v/>
      </c>
      <c r="D60" s="4">
        <f>SMALL(C$3:C$255, ROW()-2)</f>
        <v/>
      </c>
    </row>
    <row r="61">
      <c r="A61" t="inlineStr">
        <is>
          <t>2008-03-27</t>
        </is>
      </c>
      <c r="B61" s="3" t="n">
        <v>3.539999961853027</v>
      </c>
      <c r="C61" s="4">
        <f>LN(B61/B60)</f>
        <v/>
      </c>
      <c r="D61" s="4">
        <f>SMALL(C$3:C$255, ROW()-2)</f>
        <v/>
      </c>
    </row>
    <row r="62">
      <c r="A62" t="inlineStr">
        <is>
          <t>2008-03-28</t>
        </is>
      </c>
      <c r="B62" s="3" t="n">
        <v>3.48799991607666</v>
      </c>
      <c r="C62" s="4">
        <f>LN(B62/B61)</f>
        <v/>
      </c>
      <c r="D62" s="4">
        <f>SMALL(C$3:C$255, ROW()-2)</f>
        <v/>
      </c>
    </row>
    <row r="63">
      <c r="A63" t="inlineStr">
        <is>
          <t>2008-03-31</t>
        </is>
      </c>
      <c r="B63" s="3" t="n">
        <v>3.565000057220459</v>
      </c>
      <c r="C63" s="4">
        <f>LN(B63/B62)</f>
        <v/>
      </c>
      <c r="D63" s="4">
        <f>SMALL(C$3:C$255, ROW()-2)</f>
        <v/>
      </c>
    </row>
    <row r="64">
      <c r="A64" t="inlineStr">
        <is>
          <t>2008-04-01</t>
        </is>
      </c>
      <c r="B64" s="3" t="n">
        <v>3.835000038146973</v>
      </c>
      <c r="C64" s="4">
        <f>LN(B64/B63)</f>
        <v/>
      </c>
      <c r="D64" s="4">
        <f>SMALL(C$3:C$255, ROW()-2)</f>
        <v/>
      </c>
    </row>
    <row r="65">
      <c r="A65" t="inlineStr">
        <is>
          <t>2008-04-02</t>
        </is>
      </c>
      <c r="B65" s="3" t="n">
        <v>3.868499994277954</v>
      </c>
      <c r="C65" s="4">
        <f>LN(B65/B64)</f>
        <v/>
      </c>
      <c r="D65" s="4">
        <f>SMALL(C$3:C$255, ROW()-2)</f>
        <v/>
      </c>
    </row>
    <row r="66">
      <c r="A66" t="inlineStr">
        <is>
          <t>2008-04-03</t>
        </is>
      </c>
      <c r="B66" s="3" t="n">
        <v>3.746999979019165</v>
      </c>
      <c r="C66" s="4">
        <f>LN(B66/B65)</f>
        <v/>
      </c>
      <c r="D66" s="4">
        <f>SMALL(C$3:C$255, ROW()-2)</f>
        <v/>
      </c>
    </row>
    <row r="67">
      <c r="A67" t="inlineStr">
        <is>
          <t>2008-04-04</t>
        </is>
      </c>
      <c r="B67" s="3" t="n">
        <v>3.843499898910522</v>
      </c>
      <c r="C67" s="4">
        <f>LN(B67/B66)</f>
        <v/>
      </c>
      <c r="D67" s="4">
        <f>SMALL(C$3:C$255, ROW()-2)</f>
        <v/>
      </c>
    </row>
    <row r="68">
      <c r="A68" t="inlineStr">
        <is>
          <t>2008-04-07</t>
        </is>
      </c>
      <c r="B68" s="3" t="n">
        <v>3.845000028610229</v>
      </c>
      <c r="C68" s="4">
        <f>LN(B68/B67)</f>
        <v/>
      </c>
      <c r="D68" s="4">
        <f>SMALL(C$3:C$255, ROW()-2)</f>
        <v/>
      </c>
    </row>
    <row r="69">
      <c r="A69" t="inlineStr">
        <is>
          <t>2008-04-08</t>
        </is>
      </c>
      <c r="B69" s="3" t="n">
        <v>3.865000009536743</v>
      </c>
      <c r="C69" s="4">
        <f>LN(B69/B68)</f>
        <v/>
      </c>
      <c r="D69" s="4">
        <f>SMALL(C$3:C$255, ROW()-2)</f>
        <v/>
      </c>
    </row>
    <row r="70">
      <c r="A70" t="inlineStr">
        <is>
          <t>2008-04-09</t>
        </is>
      </c>
      <c r="B70" s="3" t="n">
        <v>3.719500064849854</v>
      </c>
      <c r="C70" s="4">
        <f>LN(B70/B69)</f>
        <v/>
      </c>
      <c r="D70" s="4">
        <f>SMALL(C$3:C$255, ROW()-2)</f>
        <v/>
      </c>
    </row>
    <row r="71">
      <c r="A71" t="inlineStr">
        <is>
          <t>2008-04-10</t>
        </is>
      </c>
      <c r="B71" s="3" t="n">
        <v>3.741499900817871</v>
      </c>
      <c r="C71" s="4">
        <f>LN(B71/B70)</f>
        <v/>
      </c>
      <c r="D71" s="4">
        <f>SMALL(C$3:C$255, ROW()-2)</f>
        <v/>
      </c>
    </row>
    <row r="72">
      <c r="A72" t="inlineStr">
        <is>
          <t>2008-04-11</t>
        </is>
      </c>
      <c r="B72" s="3" t="n">
        <v>3.599499940872192</v>
      </c>
      <c r="C72" s="4">
        <f>LN(B72/B71)</f>
        <v/>
      </c>
      <c r="D72" s="4">
        <f>SMALL(C$3:C$255, ROW()-2)</f>
        <v/>
      </c>
    </row>
    <row r="73">
      <c r="A73" t="inlineStr">
        <is>
          <t>2008-04-14</t>
        </is>
      </c>
      <c r="B73" s="3" t="n">
        <v>3.630500078201294</v>
      </c>
      <c r="C73" s="4">
        <f>LN(B73/B72)</f>
        <v/>
      </c>
      <c r="D73" s="4">
        <f>SMALL(C$3:C$255, ROW()-2)</f>
        <v/>
      </c>
    </row>
    <row r="74">
      <c r="A74" t="inlineStr">
        <is>
          <t>2008-04-15</t>
        </is>
      </c>
      <c r="B74" s="3" t="n">
        <v>3.625</v>
      </c>
      <c r="C74" s="4">
        <f>LN(B74/B73)</f>
        <v/>
      </c>
      <c r="D74" s="4">
        <f>SMALL(C$3:C$255, ROW()-2)</f>
        <v/>
      </c>
    </row>
    <row r="75">
      <c r="A75" t="inlineStr">
        <is>
          <t>2008-04-16</t>
        </is>
      </c>
      <c r="B75" s="3" t="n">
        <v>3.72950005531311</v>
      </c>
      <c r="C75" s="4">
        <f>LN(B75/B74)</f>
        <v/>
      </c>
      <c r="D75" s="4">
        <f>SMALL(C$3:C$255, ROW()-2)</f>
        <v/>
      </c>
    </row>
    <row r="76">
      <c r="A76" t="inlineStr">
        <is>
          <t>2008-04-17</t>
        </is>
      </c>
      <c r="B76" s="3" t="n">
        <v>3.70199990272522</v>
      </c>
      <c r="C76" s="4">
        <f>LN(B76/B75)</f>
        <v/>
      </c>
      <c r="D76" s="4">
        <f>SMALL(C$3:C$255, ROW()-2)</f>
        <v/>
      </c>
    </row>
    <row r="77">
      <c r="A77" t="inlineStr">
        <is>
          <t>2008-04-18</t>
        </is>
      </c>
      <c r="B77" s="3" t="n">
        <v>4.005000114440918</v>
      </c>
      <c r="C77" s="4">
        <f>LN(B77/B76)</f>
        <v/>
      </c>
      <c r="D77" s="4">
        <f>SMALL(C$3:C$255, ROW()-2)</f>
        <v/>
      </c>
    </row>
    <row r="78">
      <c r="A78" t="inlineStr">
        <is>
          <t>2008-04-21</t>
        </is>
      </c>
      <c r="B78" s="3" t="n">
        <v>4.008999824523926</v>
      </c>
      <c r="C78" s="4">
        <f>LN(B78/B77)</f>
        <v/>
      </c>
      <c r="D78" s="4">
        <f>SMALL(C$3:C$255, ROW()-2)</f>
        <v/>
      </c>
    </row>
    <row r="79">
      <c r="A79" t="inlineStr">
        <is>
          <t>2008-04-22</t>
        </is>
      </c>
      <c r="B79" s="3" t="n">
        <v>3.980000019073486</v>
      </c>
      <c r="C79" s="4">
        <f>LN(B79/B78)</f>
        <v/>
      </c>
      <c r="D79" s="4">
        <f>SMALL(C$3:C$255, ROW()-2)</f>
        <v/>
      </c>
    </row>
    <row r="80">
      <c r="A80" t="inlineStr">
        <is>
          <t>2008-04-23</t>
        </is>
      </c>
      <c r="B80" s="3" t="n">
        <v>4.050000190734863</v>
      </c>
      <c r="C80" s="4">
        <f>LN(B80/B79)</f>
        <v/>
      </c>
      <c r="D80" s="4">
        <f>SMALL(C$3:C$255, ROW()-2)</f>
        <v/>
      </c>
    </row>
    <row r="81">
      <c r="A81" t="inlineStr">
        <is>
          <t>2008-04-24</t>
        </is>
      </c>
      <c r="B81" s="3" t="n">
        <v>3.884500026702881</v>
      </c>
      <c r="C81" s="4">
        <f>LN(B81/B80)</f>
        <v/>
      </c>
      <c r="D81" s="4">
        <f>SMALL(C$3:C$255, ROW()-2)</f>
        <v/>
      </c>
    </row>
    <row r="82">
      <c r="A82" t="inlineStr">
        <is>
          <t>2008-04-25</t>
        </is>
      </c>
      <c r="B82" s="3" t="n">
        <v>4.043000221252441</v>
      </c>
      <c r="C82" s="4">
        <f>LN(B82/B81)</f>
        <v/>
      </c>
      <c r="D82" s="4">
        <f>SMALL(C$3:C$255, ROW()-2)</f>
        <v/>
      </c>
    </row>
    <row r="83">
      <c r="A83" t="inlineStr">
        <is>
          <t>2008-04-28</t>
        </is>
      </c>
      <c r="B83" s="3" t="n">
        <v>4.098499774932861</v>
      </c>
      <c r="C83" s="4">
        <f>LN(B83/B82)</f>
        <v/>
      </c>
      <c r="D83" s="4">
        <f>SMALL(C$3:C$255, ROW()-2)</f>
        <v/>
      </c>
    </row>
    <row r="84">
      <c r="A84" t="inlineStr">
        <is>
          <t>2008-04-29</t>
        </is>
      </c>
      <c r="B84" s="3" t="n">
        <v>4.037000179290771</v>
      </c>
      <c r="C84" s="4">
        <f>LN(B84/B83)</f>
        <v/>
      </c>
      <c r="D84" s="4">
        <f>SMALL(C$3:C$255, ROW()-2)</f>
        <v/>
      </c>
    </row>
    <row r="85">
      <c r="A85" t="inlineStr">
        <is>
          <t>2008-04-30</t>
        </is>
      </c>
      <c r="B85" s="3" t="n">
        <v>3.93149995803833</v>
      </c>
      <c r="C85" s="4">
        <f>LN(B85/B84)</f>
        <v/>
      </c>
      <c r="D85" s="4">
        <f>SMALL(C$3:C$255, ROW()-2)</f>
        <v/>
      </c>
    </row>
    <row r="86">
      <c r="A86" t="inlineStr">
        <is>
          <t>2008-05-01</t>
        </is>
      </c>
      <c r="B86" s="3" t="n">
        <v>3.967999935150146</v>
      </c>
      <c r="C86" s="4">
        <f>LN(B86/B85)</f>
        <v/>
      </c>
      <c r="D86" s="4">
        <f>SMALL(C$3:C$255, ROW()-2)</f>
        <v/>
      </c>
    </row>
    <row r="87">
      <c r="A87" t="inlineStr">
        <is>
          <t>2008-05-02</t>
        </is>
      </c>
      <c r="B87" s="3" t="n">
        <v>3.865499973297119</v>
      </c>
      <c r="C87" s="4">
        <f>LN(B87/B86)</f>
        <v/>
      </c>
      <c r="D87" s="4">
        <f>SMALL(C$3:C$255, ROW()-2)</f>
        <v/>
      </c>
    </row>
    <row r="88">
      <c r="A88" t="inlineStr">
        <is>
          <t>2008-05-05</t>
        </is>
      </c>
      <c r="B88" s="3" t="n">
        <v>3.796000003814697</v>
      </c>
      <c r="C88" s="4">
        <f>LN(B88/B87)</f>
        <v/>
      </c>
      <c r="D88" s="4">
        <f>SMALL(C$3:C$255, ROW()-2)</f>
        <v/>
      </c>
    </row>
    <row r="89">
      <c r="A89" t="inlineStr">
        <is>
          <t>2008-05-06</t>
        </is>
      </c>
      <c r="B89" s="3" t="n">
        <v>3.785500049591064</v>
      </c>
      <c r="C89" s="4">
        <f>LN(B89/B88)</f>
        <v/>
      </c>
      <c r="D89" s="4">
        <f>SMALL(C$3:C$255, ROW()-2)</f>
        <v/>
      </c>
    </row>
    <row r="90">
      <c r="A90" t="inlineStr">
        <is>
          <t>2008-05-07</t>
        </is>
      </c>
      <c r="B90" s="3" t="n">
        <v>3.658999919891357</v>
      </c>
      <c r="C90" s="4">
        <f>LN(B90/B89)</f>
        <v/>
      </c>
      <c r="D90" s="4">
        <f>SMALL(C$3:C$255, ROW()-2)</f>
        <v/>
      </c>
    </row>
    <row r="91">
      <c r="A91" t="inlineStr">
        <is>
          <t>2008-05-08</t>
        </is>
      </c>
      <c r="B91" s="3" t="n">
        <v>3.63949990272522</v>
      </c>
      <c r="C91" s="4">
        <f>LN(B91/B90)</f>
        <v/>
      </c>
      <c r="D91" s="4">
        <f>SMALL(C$3:C$255, ROW()-2)</f>
        <v/>
      </c>
    </row>
    <row r="92">
      <c r="A92" t="inlineStr">
        <is>
          <t>2008-05-09</t>
        </is>
      </c>
      <c r="B92" s="3" t="n">
        <v>3.620500087738037</v>
      </c>
      <c r="C92" s="4">
        <f>LN(B92/B91)</f>
        <v/>
      </c>
      <c r="D92" s="4">
        <f>SMALL(C$3:C$255, ROW()-2)</f>
        <v/>
      </c>
    </row>
    <row r="93">
      <c r="A93" t="inlineStr">
        <is>
          <t>2008-05-12</t>
        </is>
      </c>
      <c r="B93" s="3" t="n">
        <v>3.726500034332275</v>
      </c>
      <c r="C93" s="4">
        <f>LN(B93/B92)</f>
        <v/>
      </c>
      <c r="D93" s="4">
        <f>SMALL(C$3:C$255, ROW()-2)</f>
        <v/>
      </c>
    </row>
    <row r="94">
      <c r="A94" t="inlineStr">
        <is>
          <t>2008-05-13</t>
        </is>
      </c>
      <c r="B94" s="3" t="n">
        <v>3.727999925613403</v>
      </c>
      <c r="C94" s="4">
        <f>LN(B94/B93)</f>
        <v/>
      </c>
      <c r="D94" s="4">
        <f>SMALL(C$3:C$255, ROW()-2)</f>
        <v/>
      </c>
    </row>
    <row r="95">
      <c r="A95" t="inlineStr">
        <is>
          <t>2008-05-14</t>
        </is>
      </c>
      <c r="B95" s="3" t="n">
        <v>3.710000038146973</v>
      </c>
      <c r="C95" s="4">
        <f>LN(B95/B94)</f>
        <v/>
      </c>
      <c r="D95" s="4">
        <f>SMALL(C$3:C$255, ROW()-2)</f>
        <v/>
      </c>
    </row>
    <row r="96">
      <c r="A96" t="inlineStr">
        <is>
          <t>2008-05-15</t>
        </is>
      </c>
      <c r="B96" s="3" t="n">
        <v>3.805999994277954</v>
      </c>
      <c r="C96" s="4">
        <f>LN(B96/B95)</f>
        <v/>
      </c>
      <c r="D96" s="4">
        <f>SMALL(C$3:C$255, ROW()-2)</f>
        <v/>
      </c>
    </row>
    <row r="97">
      <c r="A97" t="inlineStr">
        <is>
          <t>2008-05-16</t>
        </is>
      </c>
      <c r="B97" s="3" t="n">
        <v>3.822999954223633</v>
      </c>
      <c r="C97" s="4">
        <f>LN(B97/B96)</f>
        <v/>
      </c>
      <c r="D97" s="4">
        <f>SMALL(C$3:C$255, ROW()-2)</f>
        <v/>
      </c>
    </row>
    <row r="98">
      <c r="A98" t="inlineStr">
        <is>
          <t>2008-05-19</t>
        </is>
      </c>
      <c r="B98" s="3" t="n">
        <v>4.114500045776367</v>
      </c>
      <c r="C98" s="4">
        <f>LN(B98/B97)</f>
        <v/>
      </c>
      <c r="D98" s="4">
        <f>SMALL(C$3:C$255, ROW()-2)</f>
        <v/>
      </c>
    </row>
    <row r="99">
      <c r="A99" t="inlineStr">
        <is>
          <t>2008-05-20</t>
        </is>
      </c>
      <c r="B99" s="3" t="n">
        <v>4.035999774932861</v>
      </c>
      <c r="C99" s="4">
        <f>LN(B99/B98)</f>
        <v/>
      </c>
      <c r="D99" s="4">
        <f>SMALL(C$3:C$255, ROW()-2)</f>
        <v/>
      </c>
    </row>
    <row r="100">
      <c r="A100" t="inlineStr">
        <is>
          <t>2008-05-21</t>
        </is>
      </c>
      <c r="B100" s="3" t="n">
        <v>3.914999961853027</v>
      </c>
      <c r="C100" s="4">
        <f>LN(B100/B99)</f>
        <v/>
      </c>
      <c r="D100" s="4">
        <f>SMALL(C$3:C$255, ROW()-2)</f>
        <v/>
      </c>
    </row>
    <row r="101">
      <c r="A101" t="inlineStr">
        <is>
          <t>2008-05-22</t>
        </is>
      </c>
      <c r="B101" s="3" t="n">
        <v>3.963000059127808</v>
      </c>
      <c r="C101" s="4">
        <f>LN(B101/B100)</f>
        <v/>
      </c>
      <c r="D101" s="4">
        <f>SMALL(C$3:C$255, ROW()-2)</f>
        <v/>
      </c>
    </row>
    <row r="102">
      <c r="A102" t="inlineStr">
        <is>
          <t>2008-05-23</t>
        </is>
      </c>
      <c r="B102" s="3" t="n">
        <v>3.917500019073486</v>
      </c>
      <c r="C102" s="4">
        <f>LN(B102/B101)</f>
        <v/>
      </c>
      <c r="D102" s="4">
        <f>SMALL(C$3:C$255, ROW()-2)</f>
        <v/>
      </c>
    </row>
    <row r="103">
      <c r="A103" t="inlineStr">
        <is>
          <t>2008-05-27</t>
        </is>
      </c>
      <c r="B103" s="3" t="n">
        <v>4.031000137329102</v>
      </c>
      <c r="C103" s="4">
        <f>LN(B103/B102)</f>
        <v/>
      </c>
      <c r="D103" s="4">
        <f>SMALL(C$3:C$255, ROW()-2)</f>
        <v/>
      </c>
    </row>
    <row r="104">
      <c r="A104" t="inlineStr">
        <is>
          <t>2008-05-28</t>
        </is>
      </c>
      <c r="B104" s="3" t="n">
        <v>4.004000186920166</v>
      </c>
      <c r="C104" s="4">
        <f>LN(B104/B103)</f>
        <v/>
      </c>
      <c r="D104" s="4">
        <f>SMALL(C$3:C$255, ROW()-2)</f>
        <v/>
      </c>
    </row>
    <row r="105">
      <c r="A105" t="inlineStr">
        <is>
          <t>2008-05-29</t>
        </is>
      </c>
      <c r="B105" s="3" t="n">
        <v>4.017499923706055</v>
      </c>
      <c r="C105" s="4">
        <f>LN(B105/B104)</f>
        <v/>
      </c>
      <c r="D105" s="4">
        <f>SMALL(C$3:C$255, ROW()-2)</f>
        <v/>
      </c>
    </row>
    <row r="106">
      <c r="A106" t="inlineStr">
        <is>
          <t>2008-05-30</t>
        </is>
      </c>
      <c r="B106" s="3" t="n">
        <v>4.080999851226807</v>
      </c>
      <c r="C106" s="4">
        <f>LN(B106/B105)</f>
        <v/>
      </c>
      <c r="D106" s="4">
        <f>SMALL(C$3:C$255, ROW()-2)</f>
        <v/>
      </c>
    </row>
    <row r="107">
      <c r="A107" t="inlineStr">
        <is>
          <t>2008-06-02</t>
        </is>
      </c>
      <c r="B107" s="3" t="n">
        <v>4.011499881744385</v>
      </c>
      <c r="C107" s="4">
        <f>LN(B107/B106)</f>
        <v/>
      </c>
      <c r="D107" s="4">
        <f>SMALL(C$3:C$255, ROW()-2)</f>
        <v/>
      </c>
    </row>
    <row r="108">
      <c r="A108" t="inlineStr">
        <is>
          <t>2008-06-03</t>
        </is>
      </c>
      <c r="B108" s="3" t="n">
        <v>4.005499839782715</v>
      </c>
      <c r="C108" s="4">
        <f>LN(B108/B107)</f>
        <v/>
      </c>
      <c r="D108" s="4">
        <f>SMALL(C$3:C$255, ROW()-2)</f>
        <v/>
      </c>
    </row>
    <row r="109">
      <c r="A109" t="inlineStr">
        <is>
          <t>2008-06-04</t>
        </is>
      </c>
      <c r="B109" s="3" t="n">
        <v>4.074999809265137</v>
      </c>
      <c r="C109" s="4">
        <f>LN(B109/B108)</f>
        <v/>
      </c>
      <c r="D109" s="4">
        <f>SMALL(C$3:C$255, ROW()-2)</f>
        <v/>
      </c>
    </row>
    <row r="110">
      <c r="A110" t="inlineStr">
        <is>
          <t>2008-06-05</t>
        </is>
      </c>
      <c r="B110" s="3" t="n">
        <v>4.225500106811523</v>
      </c>
      <c r="C110" s="4">
        <f>LN(B110/B109)</f>
        <v/>
      </c>
      <c r="D110" s="4">
        <f>SMALL(C$3:C$255, ROW()-2)</f>
        <v/>
      </c>
    </row>
    <row r="111">
      <c r="A111" t="inlineStr">
        <is>
          <t>2008-06-06</t>
        </is>
      </c>
      <c r="B111" s="3" t="n">
        <v>4.031499862670898</v>
      </c>
      <c r="C111" s="4">
        <f>LN(B111/B110)</f>
        <v/>
      </c>
      <c r="D111" s="4">
        <f>SMALL(C$3:C$255, ROW()-2)</f>
        <v/>
      </c>
    </row>
    <row r="112">
      <c r="A112" t="inlineStr">
        <is>
          <t>2008-06-09</t>
        </is>
      </c>
      <c r="B112" s="3" t="n">
        <v>3.971499919891357</v>
      </c>
      <c r="C112" s="4">
        <f>LN(B112/B111)</f>
        <v/>
      </c>
      <c r="D112" s="4">
        <f>SMALL(C$3:C$255, ROW()-2)</f>
        <v/>
      </c>
    </row>
    <row r="113">
      <c r="A113" t="inlineStr">
        <is>
          <t>2008-06-10</t>
        </is>
      </c>
      <c r="B113" s="3" t="n">
        <v>3.980999946594238</v>
      </c>
      <c r="C113" s="4">
        <f>LN(B113/B112)</f>
        <v/>
      </c>
      <c r="D113" s="4">
        <f>SMALL(C$3:C$255, ROW()-2)</f>
        <v/>
      </c>
    </row>
    <row r="114">
      <c r="A114" t="inlineStr">
        <is>
          <t>2008-06-11</t>
        </is>
      </c>
      <c r="B114" s="3" t="n">
        <v>3.864000082015991</v>
      </c>
      <c r="C114" s="4">
        <f>LN(B114/B113)</f>
        <v/>
      </c>
      <c r="D114" s="4">
        <f>SMALL(C$3:C$255, ROW()-2)</f>
        <v/>
      </c>
    </row>
    <row r="115">
      <c r="A115" t="inlineStr">
        <is>
          <t>2008-06-12</t>
        </is>
      </c>
      <c r="B115" s="3" t="n">
        <v>3.807499885559082</v>
      </c>
      <c r="C115" s="4">
        <f>LN(B115/B114)</f>
        <v/>
      </c>
      <c r="D115" s="4">
        <f>SMALL(C$3:C$255, ROW()-2)</f>
        <v/>
      </c>
    </row>
    <row r="116">
      <c r="A116" t="inlineStr">
        <is>
          <t>2008-06-13</t>
        </is>
      </c>
      <c r="B116" s="3" t="n">
        <v>3.958499908447266</v>
      </c>
      <c r="C116" s="4">
        <f>LN(B116/B115)</f>
        <v/>
      </c>
      <c r="D116" s="4">
        <f>SMALL(C$3:C$255, ROW()-2)</f>
        <v/>
      </c>
    </row>
    <row r="117">
      <c r="A117" t="inlineStr">
        <is>
          <t>2008-06-16</t>
        </is>
      </c>
      <c r="B117" s="3" t="n">
        <v>4.085000038146973</v>
      </c>
      <c r="C117" s="4">
        <f>LN(B117/B116)</f>
        <v/>
      </c>
      <c r="D117" s="4">
        <f>SMALL(C$3:C$255, ROW()-2)</f>
        <v/>
      </c>
    </row>
    <row r="118">
      <c r="A118" t="inlineStr">
        <is>
          <t>2008-06-17</t>
        </is>
      </c>
      <c r="B118" s="3" t="n">
        <v>4.148499965667725</v>
      </c>
      <c r="C118" s="4">
        <f>LN(B118/B117)</f>
        <v/>
      </c>
      <c r="D118" s="4">
        <f>SMALL(C$3:C$255, ROW()-2)</f>
        <v/>
      </c>
    </row>
    <row r="119">
      <c r="A119" t="inlineStr">
        <is>
          <t>2008-06-18</t>
        </is>
      </c>
      <c r="B119" s="3" t="n">
        <v>4.125999927520752</v>
      </c>
      <c r="C119" s="4">
        <f>LN(B119/B118)</f>
        <v/>
      </c>
      <c r="D119" s="4">
        <f>SMALL(C$3:C$255, ROW()-2)</f>
        <v/>
      </c>
    </row>
    <row r="120">
      <c r="A120" t="inlineStr">
        <is>
          <t>2008-06-19</t>
        </is>
      </c>
      <c r="B120" s="3" t="n">
        <v>4.212999820709229</v>
      </c>
      <c r="C120" s="4">
        <f>LN(B120/B119)</f>
        <v/>
      </c>
      <c r="D120" s="4">
        <f>SMALL(C$3:C$255, ROW()-2)</f>
        <v/>
      </c>
    </row>
    <row r="121">
      <c r="A121" t="inlineStr">
        <is>
          <t>2008-06-20</t>
        </is>
      </c>
      <c r="B121" s="3" t="n">
        <v>4.054999828338623</v>
      </c>
      <c r="C121" s="4">
        <f>LN(B121/B120)</f>
        <v/>
      </c>
      <c r="D121" s="4">
        <f>SMALL(C$3:C$255, ROW()-2)</f>
        <v/>
      </c>
    </row>
    <row r="122">
      <c r="A122" t="inlineStr">
        <is>
          <t>2008-06-23</t>
        </is>
      </c>
      <c r="B122" s="3" t="n">
        <v>4.033999919891357</v>
      </c>
      <c r="C122" s="4">
        <f>LN(B122/B121)</f>
        <v/>
      </c>
      <c r="D122" s="4">
        <f>SMALL(C$3:C$255, ROW()-2)</f>
        <v/>
      </c>
    </row>
    <row r="123">
      <c r="A123" t="inlineStr">
        <is>
          <t>2008-06-24</t>
        </is>
      </c>
      <c r="B123" s="3" t="n">
        <v>3.982000112533569</v>
      </c>
      <c r="C123" s="4">
        <f>LN(B123/B122)</f>
        <v/>
      </c>
      <c r="D123" s="4">
        <f>SMALL(C$3:C$255, ROW()-2)</f>
        <v/>
      </c>
    </row>
    <row r="124">
      <c r="A124" t="inlineStr">
        <is>
          <t>2008-06-25</t>
        </is>
      </c>
      <c r="B124" s="3" t="n">
        <v>4.025499820709229</v>
      </c>
      <c r="C124" s="4">
        <f>LN(B124/B123)</f>
        <v/>
      </c>
      <c r="D124" s="4">
        <f>SMALL(C$3:C$255, ROW()-2)</f>
        <v/>
      </c>
    </row>
    <row r="125">
      <c r="A125" t="inlineStr">
        <is>
          <t>2008-06-26</t>
        </is>
      </c>
      <c r="B125" s="3" t="n">
        <v>3.815000057220459</v>
      </c>
      <c r="C125" s="4">
        <f>LN(B125/B124)</f>
        <v/>
      </c>
      <c r="D125" s="4">
        <f>SMALL(C$3:C$255, ROW()-2)</f>
        <v/>
      </c>
    </row>
    <row r="126">
      <c r="A126" t="inlineStr">
        <is>
          <t>2008-06-27</t>
        </is>
      </c>
      <c r="B126" s="3" t="n">
        <v>3.733000040054321</v>
      </c>
      <c r="C126" s="4">
        <f>LN(B126/B125)</f>
        <v/>
      </c>
      <c r="D126" s="4">
        <f>SMALL(C$3:C$255, ROW()-2)</f>
        <v/>
      </c>
    </row>
    <row r="127">
      <c r="A127" t="inlineStr">
        <is>
          <t>2008-06-30</t>
        </is>
      </c>
      <c r="B127" s="3" t="n">
        <v>3.666500091552734</v>
      </c>
      <c r="C127" s="4">
        <f>LN(B127/B126)</f>
        <v/>
      </c>
      <c r="D127" s="4">
        <f>SMALL(C$3:C$255, ROW()-2)</f>
        <v/>
      </c>
    </row>
    <row r="128">
      <c r="A128" t="inlineStr">
        <is>
          <t>2008-07-01</t>
        </is>
      </c>
      <c r="B128" s="3" t="n">
        <v>3.680999994277954</v>
      </c>
      <c r="C128" s="4">
        <f>LN(B128/B127)</f>
        <v/>
      </c>
      <c r="D128" s="4">
        <f>SMALL(C$3:C$255, ROW()-2)</f>
        <v/>
      </c>
    </row>
    <row r="129">
      <c r="A129" t="inlineStr">
        <is>
          <t>2008-07-02</t>
        </is>
      </c>
      <c r="B129" s="3" t="n">
        <v>3.572000026702881</v>
      </c>
      <c r="C129" s="4">
        <f>LN(B129/B128)</f>
        <v/>
      </c>
      <c r="D129" s="4">
        <f>SMALL(C$3:C$255, ROW()-2)</f>
        <v/>
      </c>
    </row>
    <row r="130">
      <c r="A130" t="inlineStr">
        <is>
          <t>2008-07-03</t>
        </is>
      </c>
      <c r="B130" s="3" t="n">
        <v>3.599999904632568</v>
      </c>
      <c r="C130" s="4">
        <f>LN(B130/B129)</f>
        <v/>
      </c>
      <c r="D130" s="4">
        <f>SMALL(C$3:C$255, ROW()-2)</f>
        <v/>
      </c>
    </row>
    <row r="131">
      <c r="A131" t="inlineStr">
        <is>
          <t>2008-07-07</t>
        </is>
      </c>
      <c r="B131" s="3" t="n">
        <v>3.624500036239624</v>
      </c>
      <c r="C131" s="4">
        <f>LN(B131/B130)</f>
        <v/>
      </c>
      <c r="D131" s="4">
        <f>SMALL(C$3:C$255, ROW()-2)</f>
        <v/>
      </c>
    </row>
    <row r="132">
      <c r="A132" t="inlineStr">
        <is>
          <t>2008-07-08</t>
        </is>
      </c>
      <c r="B132" s="3" t="n">
        <v>3.752000093460083</v>
      </c>
      <c r="C132" s="4">
        <f>LN(B132/B131)</f>
        <v/>
      </c>
      <c r="D132" s="4">
        <f>SMALL(C$3:C$255, ROW()-2)</f>
        <v/>
      </c>
    </row>
    <row r="133">
      <c r="A133" t="inlineStr">
        <is>
          <t>2008-07-09</t>
        </is>
      </c>
      <c r="B133" s="3" t="n">
        <v>3.530499935150146</v>
      </c>
      <c r="C133" s="4">
        <f>LN(B133/B132)</f>
        <v/>
      </c>
      <c r="D133" s="4">
        <f>SMALL(C$3:C$255, ROW()-2)</f>
        <v/>
      </c>
    </row>
    <row r="134">
      <c r="A134" t="inlineStr">
        <is>
          <t>2008-07-10</t>
        </is>
      </c>
      <c r="B134" s="3" t="n">
        <v>3.531500101089478</v>
      </c>
      <c r="C134" s="4">
        <f>LN(B134/B133)</f>
        <v/>
      </c>
      <c r="D134" s="4">
        <f>SMALL(C$3:C$255, ROW()-2)</f>
        <v/>
      </c>
    </row>
    <row r="135">
      <c r="A135" t="inlineStr">
        <is>
          <t>2008-07-11</t>
        </is>
      </c>
      <c r="B135" s="3" t="n">
        <v>3.427000045776367</v>
      </c>
      <c r="C135" s="4">
        <f>LN(B135/B134)</f>
        <v/>
      </c>
      <c r="D135" s="4">
        <f>SMALL(C$3:C$255, ROW()-2)</f>
        <v/>
      </c>
    </row>
    <row r="136">
      <c r="A136" t="inlineStr">
        <is>
          <t>2008-07-14</t>
        </is>
      </c>
      <c r="B136" s="3" t="n">
        <v>3.313999891281128</v>
      </c>
      <c r="C136" s="4">
        <f>LN(B136/B135)</f>
        <v/>
      </c>
      <c r="D136" s="4">
        <f>SMALL(C$3:C$255, ROW()-2)</f>
        <v/>
      </c>
    </row>
    <row r="137">
      <c r="A137" t="inlineStr">
        <is>
          <t>2008-07-15</t>
        </is>
      </c>
      <c r="B137" s="3" t="n">
        <v>3.351500034332275</v>
      </c>
      <c r="C137" s="4">
        <f>LN(B137/B136)</f>
        <v/>
      </c>
      <c r="D137" s="4">
        <f>SMALL(C$3:C$255, ROW()-2)</f>
        <v/>
      </c>
    </row>
    <row r="138">
      <c r="A138" t="inlineStr">
        <is>
          <t>2008-07-16</t>
        </is>
      </c>
      <c r="B138" s="3" t="n">
        <v>3.592000007629395</v>
      </c>
      <c r="C138" s="4">
        <f>LN(B138/B137)</f>
        <v/>
      </c>
      <c r="D138" s="4">
        <f>SMALL(C$3:C$255, ROW()-2)</f>
        <v/>
      </c>
    </row>
    <row r="139">
      <c r="A139" t="inlineStr">
        <is>
          <t>2008-07-17</t>
        </is>
      </c>
      <c r="B139" s="3" t="n">
        <v>3.605499982833862</v>
      </c>
      <c r="C139" s="4">
        <f>LN(B139/B138)</f>
        <v/>
      </c>
      <c r="D139" s="4">
        <f>SMALL(C$3:C$255, ROW()-2)</f>
        <v/>
      </c>
    </row>
    <row r="140">
      <c r="A140" t="inlineStr">
        <is>
          <t>2008-07-18</t>
        </is>
      </c>
      <c r="B140" s="3" t="n">
        <v>3.456000089645386</v>
      </c>
      <c r="C140" s="4">
        <f>LN(B140/B139)</f>
        <v/>
      </c>
      <c r="D140" s="4">
        <f>SMALL(C$3:C$255, ROW()-2)</f>
        <v/>
      </c>
    </row>
    <row r="141">
      <c r="A141" t="inlineStr">
        <is>
          <t>2008-07-21</t>
        </is>
      </c>
      <c r="B141" s="3" t="n">
        <v>3.424000024795532</v>
      </c>
      <c r="C141" s="4">
        <f>LN(B141/B140)</f>
        <v/>
      </c>
      <c r="D141" s="4">
        <f>SMALL(C$3:C$255, ROW()-2)</f>
        <v/>
      </c>
    </row>
    <row r="142">
      <c r="A142" t="inlineStr">
        <is>
          <t>2008-07-22</t>
        </is>
      </c>
      <c r="B142" s="3" t="n">
        <v>3.398499965667725</v>
      </c>
      <c r="C142" s="4">
        <f>LN(B142/B141)</f>
        <v/>
      </c>
      <c r="D142" s="4">
        <f>SMALL(C$3:C$255, ROW()-2)</f>
        <v/>
      </c>
    </row>
    <row r="143">
      <c r="A143" t="inlineStr">
        <is>
          <t>2008-07-23</t>
        </is>
      </c>
      <c r="B143" s="3" t="n">
        <v>3.526999950408936</v>
      </c>
      <c r="C143" s="4">
        <f>LN(B143/B142)</f>
        <v/>
      </c>
      <c r="D143" s="4">
        <f>SMALL(C$3:C$255, ROW()-2)</f>
        <v/>
      </c>
    </row>
    <row r="144">
      <c r="A144" t="inlineStr">
        <is>
          <t>2008-07-24</t>
        </is>
      </c>
      <c r="B144" s="3" t="n">
        <v>3.936000108718872</v>
      </c>
      <c r="C144" s="4">
        <f>LN(B144/B143)</f>
        <v/>
      </c>
      <c r="D144" s="4">
        <f>SMALL(C$3:C$255, ROW()-2)</f>
        <v/>
      </c>
    </row>
    <row r="145">
      <c r="A145" t="inlineStr">
        <is>
          <t>2008-07-25</t>
        </is>
      </c>
      <c r="B145" s="3" t="n">
        <v>3.915499925613403</v>
      </c>
      <c r="C145" s="4">
        <f>LN(B145/B144)</f>
        <v/>
      </c>
      <c r="D145" s="4">
        <f>SMALL(C$3:C$255, ROW()-2)</f>
        <v/>
      </c>
    </row>
    <row r="146">
      <c r="A146" t="inlineStr">
        <is>
          <t>2008-07-28</t>
        </is>
      </c>
      <c r="B146" s="3" t="n">
        <v>3.799000024795532</v>
      </c>
      <c r="C146" s="4">
        <f>LN(B146/B145)</f>
        <v/>
      </c>
      <c r="D146" s="4">
        <f>SMALL(C$3:C$255, ROW()-2)</f>
        <v/>
      </c>
    </row>
    <row r="147">
      <c r="A147" t="inlineStr">
        <is>
          <t>2008-07-29</t>
        </is>
      </c>
      <c r="B147" s="3" t="n">
        <v>3.910500049591064</v>
      </c>
      <c r="C147" s="4">
        <f>LN(B147/B146)</f>
        <v/>
      </c>
      <c r="D147" s="4">
        <f>SMALL(C$3:C$255, ROW()-2)</f>
        <v/>
      </c>
    </row>
    <row r="148">
      <c r="A148" t="inlineStr">
        <is>
          <t>2008-07-30</t>
        </is>
      </c>
      <c r="B148" s="3" t="n">
        <v>3.910500049591064</v>
      </c>
      <c r="C148" s="4">
        <f>LN(B148/B147)</f>
        <v/>
      </c>
      <c r="D148" s="4">
        <f>SMALL(C$3:C$255, ROW()-2)</f>
        <v/>
      </c>
    </row>
    <row r="149">
      <c r="A149" t="inlineStr">
        <is>
          <t>2008-07-31</t>
        </is>
      </c>
      <c r="B149" s="3" t="n">
        <v>3.816999912261963</v>
      </c>
      <c r="C149" s="4">
        <f>LN(B149/B148)</f>
        <v/>
      </c>
      <c r="D149" s="4">
        <f>SMALL(C$3:C$255, ROW()-2)</f>
        <v/>
      </c>
    </row>
    <row r="150">
      <c r="A150" t="inlineStr">
        <is>
          <t>2008-08-01</t>
        </is>
      </c>
      <c r="B150" s="3" t="n">
        <v>3.787499904632568</v>
      </c>
      <c r="C150" s="4">
        <f>LN(B150/B149)</f>
        <v/>
      </c>
      <c r="D150" s="4">
        <f>SMALL(C$3:C$255, ROW()-2)</f>
        <v/>
      </c>
    </row>
    <row r="151">
      <c r="A151" t="inlineStr">
        <is>
          <t>2008-08-04</t>
        </is>
      </c>
      <c r="B151" s="3" t="n">
        <v>3.785500049591064</v>
      </c>
      <c r="C151" s="4">
        <f>LN(B151/B150)</f>
        <v/>
      </c>
      <c r="D151" s="4">
        <f>SMALL(C$3:C$255, ROW()-2)</f>
        <v/>
      </c>
    </row>
    <row r="152">
      <c r="A152" t="inlineStr">
        <is>
          <t>2008-08-05</t>
        </is>
      </c>
      <c r="B152" s="3" t="n">
        <v>3.955499887466431</v>
      </c>
      <c r="C152" s="4">
        <f>LN(B152/B151)</f>
        <v/>
      </c>
      <c r="D152" s="4">
        <f>SMALL(C$3:C$255, ROW()-2)</f>
        <v/>
      </c>
    </row>
    <row r="153">
      <c r="A153" t="inlineStr">
        <is>
          <t>2008-08-06</t>
        </is>
      </c>
      <c r="B153" s="3" t="n">
        <v>3.904500007629395</v>
      </c>
      <c r="C153" s="4">
        <f>LN(B153/B152)</f>
        <v/>
      </c>
      <c r="D153" s="4">
        <f>SMALL(C$3:C$255, ROW()-2)</f>
        <v/>
      </c>
    </row>
    <row r="154">
      <c r="A154" t="inlineStr">
        <is>
          <t>2008-08-07</t>
        </is>
      </c>
      <c r="B154" s="3" t="n">
        <v>3.847500085830688</v>
      </c>
      <c r="C154" s="4">
        <f>LN(B154/B153)</f>
        <v/>
      </c>
      <c r="D154" s="4">
        <f>SMALL(C$3:C$255, ROW()-2)</f>
        <v/>
      </c>
    </row>
    <row r="155">
      <c r="A155" t="inlineStr">
        <is>
          <t>2008-08-08</t>
        </is>
      </c>
      <c r="B155" s="3" t="n">
        <v>4.025499820709229</v>
      </c>
      <c r="C155" s="4">
        <f>LN(B155/B154)</f>
        <v/>
      </c>
      <c r="D155" s="4">
        <f>SMALL(C$3:C$255, ROW()-2)</f>
        <v/>
      </c>
    </row>
    <row r="156">
      <c r="A156" t="inlineStr">
        <is>
          <t>2008-08-11</t>
        </is>
      </c>
      <c r="B156" s="3" t="n">
        <v>4.404500007629395</v>
      </c>
      <c r="C156" s="4">
        <f>LN(B156/B155)</f>
        <v/>
      </c>
      <c r="D156" s="4">
        <f>SMALL(C$3:C$255, ROW()-2)</f>
        <v/>
      </c>
    </row>
    <row r="157">
      <c r="A157" t="inlineStr">
        <is>
          <t>2008-08-12</t>
        </is>
      </c>
      <c r="B157" s="3" t="n">
        <v>4.362500190734863</v>
      </c>
      <c r="C157" s="4">
        <f>LN(B157/B156)</f>
        <v/>
      </c>
      <c r="D157" s="4">
        <f>SMALL(C$3:C$255, ROW()-2)</f>
        <v/>
      </c>
    </row>
    <row r="158">
      <c r="A158" t="inlineStr">
        <is>
          <t>2008-08-13</t>
        </is>
      </c>
      <c r="B158" s="3" t="n">
        <v>4.334499835968018</v>
      </c>
      <c r="C158" s="4">
        <f>LN(B158/B157)</f>
        <v/>
      </c>
      <c r="D158" s="4">
        <f>SMALL(C$3:C$255, ROW()-2)</f>
        <v/>
      </c>
    </row>
    <row r="159">
      <c r="A159" t="inlineStr">
        <is>
          <t>2008-08-14</t>
        </is>
      </c>
      <c r="B159" s="3" t="n">
        <v>4.401500225067139</v>
      </c>
      <c r="C159" s="4">
        <f>LN(B159/B158)</f>
        <v/>
      </c>
      <c r="D159" s="4">
        <f>SMALL(C$3:C$255, ROW()-2)</f>
        <v/>
      </c>
    </row>
    <row r="160">
      <c r="A160" t="inlineStr">
        <is>
          <t>2008-08-15</t>
        </is>
      </c>
      <c r="B160" s="3" t="n">
        <v>4.320000171661377</v>
      </c>
      <c r="C160" s="4">
        <f>LN(B160/B159)</f>
        <v/>
      </c>
      <c r="D160" s="4">
        <f>SMALL(C$3:C$255, ROW()-2)</f>
        <v/>
      </c>
    </row>
    <row r="161">
      <c r="A161" t="inlineStr">
        <is>
          <t>2008-08-18</t>
        </is>
      </c>
      <c r="B161" s="3" t="n">
        <v>4.155499935150146</v>
      </c>
      <c r="C161" s="4">
        <f>LN(B161/B160)</f>
        <v/>
      </c>
      <c r="D161" s="4">
        <f>SMALL(C$3:C$255, ROW()-2)</f>
        <v/>
      </c>
    </row>
    <row r="162">
      <c r="A162" t="inlineStr">
        <is>
          <t>2008-08-19</t>
        </is>
      </c>
      <c r="B162" s="3" t="n">
        <v>4.064499855041504</v>
      </c>
      <c r="C162" s="4">
        <f>LN(B162/B161)</f>
        <v/>
      </c>
      <c r="D162" s="4">
        <f>SMALL(C$3:C$255, ROW()-2)</f>
        <v/>
      </c>
    </row>
    <row r="163">
      <c r="A163" t="inlineStr">
        <is>
          <t>2008-08-20</t>
        </is>
      </c>
      <c r="B163" s="3" t="n">
        <v>4.106500148773193</v>
      </c>
      <c r="C163" s="4">
        <f>LN(B163/B162)</f>
        <v/>
      </c>
      <c r="D163" s="4">
        <f>SMALL(C$3:C$255, ROW()-2)</f>
        <v/>
      </c>
    </row>
    <row r="164">
      <c r="A164" t="inlineStr">
        <is>
          <t>2008-08-21</t>
        </is>
      </c>
      <c r="B164" s="3" t="n">
        <v>4.163000106811523</v>
      </c>
      <c r="C164" s="4">
        <f>LN(B164/B163)</f>
        <v/>
      </c>
      <c r="D164" s="4">
        <f>SMALL(C$3:C$255, ROW()-2)</f>
        <v/>
      </c>
    </row>
    <row r="165">
      <c r="A165" t="inlineStr">
        <is>
          <t>2008-08-22</t>
        </is>
      </c>
      <c r="B165" s="3" t="n">
        <v>4.263000011444092</v>
      </c>
      <c r="C165" s="4">
        <f>LN(B165/B164)</f>
        <v/>
      </c>
      <c r="D165" s="4">
        <f>SMALL(C$3:C$255, ROW()-2)</f>
        <v/>
      </c>
    </row>
    <row r="166">
      <c r="A166" t="inlineStr">
        <is>
          <t>2008-08-25</t>
        </is>
      </c>
      <c r="B166" s="3" t="n">
        <v>4.142499923706055</v>
      </c>
      <c r="C166" s="4">
        <f>LN(B166/B165)</f>
        <v/>
      </c>
      <c r="D166" s="4">
        <f>SMALL(C$3:C$255, ROW()-2)</f>
        <v/>
      </c>
    </row>
    <row r="167">
      <c r="A167" t="inlineStr">
        <is>
          <t>2008-08-26</t>
        </is>
      </c>
      <c r="B167" s="3" t="n">
        <v>4.087999820709229</v>
      </c>
      <c r="C167" s="4">
        <f>LN(B167/B166)</f>
        <v/>
      </c>
      <c r="D167" s="4">
        <f>SMALL(C$3:C$255, ROW()-2)</f>
        <v/>
      </c>
    </row>
    <row r="168">
      <c r="A168" t="inlineStr">
        <is>
          <t>2008-08-27</t>
        </is>
      </c>
      <c r="B168" s="3" t="n">
        <v>4.08650016784668</v>
      </c>
      <c r="C168" s="4">
        <f>LN(B168/B167)</f>
        <v/>
      </c>
      <c r="D168" s="4">
        <f>SMALL(C$3:C$255, ROW()-2)</f>
        <v/>
      </c>
    </row>
    <row r="169">
      <c r="A169" t="inlineStr">
        <is>
          <t>2008-08-28</t>
        </is>
      </c>
      <c r="B169" s="3" t="n">
        <v>4.171000003814697</v>
      </c>
      <c r="C169" s="4">
        <f>LN(B169/B168)</f>
        <v/>
      </c>
      <c r="D169" s="4">
        <f>SMALL(C$3:C$255, ROW()-2)</f>
        <v/>
      </c>
    </row>
    <row r="170">
      <c r="A170" t="inlineStr">
        <is>
          <t>2008-08-29</t>
        </is>
      </c>
      <c r="B170" s="3" t="n">
        <v>4.040500164031982</v>
      </c>
      <c r="C170" s="4">
        <f>LN(B170/B169)</f>
        <v/>
      </c>
      <c r="D170" s="4">
        <f>SMALL(C$3:C$255, ROW()-2)</f>
        <v/>
      </c>
    </row>
    <row r="171">
      <c r="A171" t="inlineStr">
        <is>
          <t>2008-09-02</t>
        </is>
      </c>
      <c r="B171" s="3" t="n">
        <v>4.070499897003174</v>
      </c>
      <c r="C171" s="4">
        <f>LN(B171/B170)</f>
        <v/>
      </c>
      <c r="D171" s="4">
        <f>SMALL(C$3:C$255, ROW()-2)</f>
        <v/>
      </c>
    </row>
    <row r="172">
      <c r="A172" t="inlineStr">
        <is>
          <t>2008-09-03</t>
        </is>
      </c>
      <c r="B172" s="3" t="n">
        <v>4.03849983215332</v>
      </c>
      <c r="C172" s="4">
        <f>LN(B172/B171)</f>
        <v/>
      </c>
      <c r="D172" s="4">
        <f>SMALL(C$3:C$255, ROW()-2)</f>
        <v/>
      </c>
    </row>
    <row r="173">
      <c r="A173" t="inlineStr">
        <is>
          <t>2008-09-04</t>
        </is>
      </c>
      <c r="B173" s="3" t="n">
        <v>3.90149998664856</v>
      </c>
      <c r="C173" s="4">
        <f>LN(B173/B172)</f>
        <v/>
      </c>
      <c r="D173" s="4">
        <f>SMALL(C$3:C$255, ROW()-2)</f>
        <v/>
      </c>
    </row>
    <row r="174">
      <c r="A174" t="inlineStr">
        <is>
          <t>2008-09-05</t>
        </is>
      </c>
      <c r="B174" s="3" t="n">
        <v>3.959500074386597</v>
      </c>
      <c r="C174" s="4">
        <f>LN(B174/B173)</f>
        <v/>
      </c>
      <c r="D174" s="4">
        <f>SMALL(C$3:C$255, ROW()-2)</f>
        <v/>
      </c>
    </row>
    <row r="175">
      <c r="A175" t="inlineStr">
        <is>
          <t>2008-09-08</t>
        </is>
      </c>
      <c r="B175" s="3" t="n">
        <v>4.058000087738037</v>
      </c>
      <c r="C175" s="4">
        <f>LN(B175/B174)</f>
        <v/>
      </c>
      <c r="D175" s="4">
        <f>SMALL(C$3:C$255, ROW()-2)</f>
        <v/>
      </c>
    </row>
    <row r="176">
      <c r="A176" t="inlineStr">
        <is>
          <t>2008-09-09</t>
        </is>
      </c>
      <c r="B176" s="3" t="n">
        <v>3.95199990272522</v>
      </c>
      <c r="C176" s="4">
        <f>LN(B176/B175)</f>
        <v/>
      </c>
      <c r="D176" s="4">
        <f>SMALL(C$3:C$255, ROW()-2)</f>
        <v/>
      </c>
    </row>
    <row r="177">
      <c r="A177" t="inlineStr">
        <is>
          <t>2008-09-10</t>
        </is>
      </c>
      <c r="B177" s="3" t="n">
        <v>3.836999893188477</v>
      </c>
      <c r="C177" s="4">
        <f>LN(B177/B176)</f>
        <v/>
      </c>
      <c r="D177" s="4">
        <f>SMALL(C$3:C$255, ROW()-2)</f>
        <v/>
      </c>
    </row>
    <row r="178">
      <c r="A178" t="inlineStr">
        <is>
          <t>2008-09-11</t>
        </is>
      </c>
      <c r="B178" s="3" t="n">
        <v>3.975500106811523</v>
      </c>
      <c r="C178" s="4">
        <f>LN(B178/B177)</f>
        <v/>
      </c>
      <c r="D178" s="4">
        <f>SMALL(C$3:C$255, ROW()-2)</f>
        <v/>
      </c>
    </row>
    <row r="179">
      <c r="A179" t="inlineStr">
        <is>
          <t>2008-09-12</t>
        </is>
      </c>
      <c r="B179" s="3" t="n">
        <v>3.914999961853027</v>
      </c>
      <c r="C179" s="4">
        <f>LN(B179/B178)</f>
        <v/>
      </c>
      <c r="D179" s="4">
        <f>SMALL(C$3:C$255, ROW()-2)</f>
        <v/>
      </c>
    </row>
    <row r="180">
      <c r="A180" t="inlineStr">
        <is>
          <t>2008-09-15</t>
        </is>
      </c>
      <c r="B180" s="3" t="n">
        <v>3.867000102996826</v>
      </c>
      <c r="C180" s="4">
        <f>LN(B180/B179)</f>
        <v/>
      </c>
      <c r="D180" s="4">
        <f>SMALL(C$3:C$255, ROW()-2)</f>
        <v/>
      </c>
    </row>
    <row r="181">
      <c r="A181" t="inlineStr">
        <is>
          <t>2008-09-16</t>
        </is>
      </c>
      <c r="B181" s="3" t="n">
        <v>3.936500072479248</v>
      </c>
      <c r="C181" s="4">
        <f>LN(B181/B180)</f>
        <v/>
      </c>
      <c r="D181" s="4">
        <f>SMALL(C$3:C$255, ROW()-2)</f>
        <v/>
      </c>
    </row>
    <row r="182">
      <c r="A182" t="inlineStr">
        <is>
          <t>2008-09-17</t>
        </is>
      </c>
      <c r="B182" s="3" t="n">
        <v>3.57699990272522</v>
      </c>
      <c r="C182" s="4">
        <f>LN(B182/B181)</f>
        <v/>
      </c>
      <c r="D182" s="4">
        <f>SMALL(C$3:C$255, ROW()-2)</f>
        <v/>
      </c>
    </row>
    <row r="183">
      <c r="A183" t="inlineStr">
        <is>
          <t>2008-09-18</t>
        </is>
      </c>
      <c r="B183" s="3" t="n">
        <v>3.825000047683716</v>
      </c>
      <c r="C183" s="4">
        <f>LN(B183/B182)</f>
        <v/>
      </c>
      <c r="D183" s="4">
        <f>SMALL(C$3:C$255, ROW()-2)</f>
        <v/>
      </c>
    </row>
    <row r="184">
      <c r="A184" t="inlineStr">
        <is>
          <t>2008-09-19</t>
        </is>
      </c>
      <c r="B184" s="3" t="n">
        <v>4.050000190734863</v>
      </c>
      <c r="C184" s="4">
        <f>LN(B184/B183)</f>
        <v/>
      </c>
      <c r="D184" s="4">
        <f>SMALL(C$3:C$255, ROW()-2)</f>
        <v/>
      </c>
    </row>
    <row r="185">
      <c r="A185" t="inlineStr">
        <is>
          <t>2008-09-22</t>
        </is>
      </c>
      <c r="B185" s="3" t="n">
        <v>3.746500015258789</v>
      </c>
      <c r="C185" s="4">
        <f>LN(B185/B184)</f>
        <v/>
      </c>
      <c r="D185" s="4">
        <f>SMALL(C$3:C$255, ROW()-2)</f>
        <v/>
      </c>
    </row>
    <row r="186">
      <c r="A186" t="inlineStr">
        <is>
          <t>2008-09-23</t>
        </is>
      </c>
      <c r="B186" s="3" t="n">
        <v>3.588000059127808</v>
      </c>
      <c r="C186" s="4">
        <f>LN(B186/B185)</f>
        <v/>
      </c>
      <c r="D186" s="4">
        <f>SMALL(C$3:C$255, ROW()-2)</f>
        <v/>
      </c>
    </row>
    <row r="187">
      <c r="A187" t="inlineStr">
        <is>
          <t>2008-09-24</t>
        </is>
      </c>
      <c r="B187" s="3" t="n">
        <v>3.497999906539917</v>
      </c>
      <c r="C187" s="4">
        <f>LN(B187/B186)</f>
        <v/>
      </c>
      <c r="D187" s="4">
        <f>SMALL(C$3:C$255, ROW()-2)</f>
        <v/>
      </c>
    </row>
    <row r="188">
      <c r="A188" t="inlineStr">
        <is>
          <t>2008-09-25</t>
        </is>
      </c>
      <c r="B188" s="3" t="n">
        <v>3.604000091552734</v>
      </c>
      <c r="C188" s="4">
        <f>LN(B188/B187)</f>
        <v/>
      </c>
      <c r="D188" s="4">
        <f>SMALL(C$3:C$255, ROW()-2)</f>
        <v/>
      </c>
    </row>
    <row r="189">
      <c r="A189" t="inlineStr">
        <is>
          <t>2008-09-26</t>
        </is>
      </c>
      <c r="B189" s="3" t="n">
        <v>3.535000085830688</v>
      </c>
      <c r="C189" s="4">
        <f>LN(B189/B188)</f>
        <v/>
      </c>
      <c r="D189" s="4">
        <f>SMALL(C$3:C$255, ROW()-2)</f>
        <v/>
      </c>
    </row>
    <row r="190">
      <c r="A190" t="inlineStr">
        <is>
          <t>2008-09-29</t>
        </is>
      </c>
      <c r="B190" s="3" t="n">
        <v>3.167500019073486</v>
      </c>
      <c r="C190" s="4">
        <f>LN(B190/B189)</f>
        <v/>
      </c>
      <c r="D190" s="4">
        <f>SMALL(C$3:C$255, ROW()-2)</f>
        <v/>
      </c>
    </row>
    <row r="191">
      <c r="A191" t="inlineStr">
        <is>
          <t>2008-09-30</t>
        </is>
      </c>
      <c r="B191" s="3" t="n">
        <v>3.638000011444092</v>
      </c>
      <c r="C191" s="4">
        <f>LN(B191/B190)</f>
        <v/>
      </c>
      <c r="D191" s="4">
        <f>SMALL(C$3:C$255, ROW()-2)</f>
        <v/>
      </c>
    </row>
    <row r="192">
      <c r="A192" t="inlineStr">
        <is>
          <t>2008-10-01</t>
        </is>
      </c>
      <c r="B192" s="3" t="n">
        <v>3.479000091552734</v>
      </c>
      <c r="C192" s="4">
        <f>LN(B192/B191)</f>
        <v/>
      </c>
      <c r="D192" s="4">
        <f>SMALL(C$3:C$255, ROW()-2)</f>
        <v/>
      </c>
    </row>
    <row r="193">
      <c r="A193" t="inlineStr">
        <is>
          <t>2008-10-02</t>
        </is>
      </c>
      <c r="B193" s="3" t="n">
        <v>3.368000030517578</v>
      </c>
      <c r="C193" s="4">
        <f>LN(B193/B192)</f>
        <v/>
      </c>
      <c r="D193" s="4">
        <f>SMALL(C$3:C$255, ROW()-2)</f>
        <v/>
      </c>
    </row>
    <row r="194">
      <c r="A194" t="inlineStr">
        <is>
          <t>2008-10-03</t>
        </is>
      </c>
      <c r="B194" s="3" t="n">
        <v>3.349999904632568</v>
      </c>
      <c r="C194" s="4">
        <f>LN(B194/B193)</f>
        <v/>
      </c>
      <c r="D194" s="4">
        <f>SMALL(C$3:C$255, ROW()-2)</f>
        <v/>
      </c>
    </row>
    <row r="195">
      <c r="A195" t="inlineStr">
        <is>
          <t>2008-10-06</t>
        </is>
      </c>
      <c r="B195" s="3" t="n">
        <v>3.261499881744385</v>
      </c>
      <c r="C195" s="4">
        <f>LN(B195/B194)</f>
        <v/>
      </c>
      <c r="D195" s="4">
        <f>SMALL(C$3:C$255, ROW()-2)</f>
        <v/>
      </c>
    </row>
    <row r="196">
      <c r="A196" t="inlineStr">
        <is>
          <t>2008-10-07</t>
        </is>
      </c>
      <c r="B196" s="3" t="n">
        <v>2.926000118255615</v>
      </c>
      <c r="C196" s="4">
        <f>LN(B196/B195)</f>
        <v/>
      </c>
      <c r="D196" s="4">
        <f>SMALL(C$3:C$255, ROW()-2)</f>
        <v/>
      </c>
    </row>
    <row r="197">
      <c r="A197" t="inlineStr">
        <is>
          <t>2008-10-08</t>
        </is>
      </c>
      <c r="B197" s="3" t="n">
        <v>3.051000118255615</v>
      </c>
      <c r="C197" s="4">
        <f>LN(B197/B196)</f>
        <v/>
      </c>
      <c r="D197" s="4">
        <f>SMALL(C$3:C$255, ROW()-2)</f>
        <v/>
      </c>
    </row>
    <row r="198">
      <c r="A198" t="inlineStr">
        <is>
          <t>2008-10-09</t>
        </is>
      </c>
      <c r="B198" s="3" t="n">
        <v>2.799999952316284</v>
      </c>
      <c r="C198" s="4">
        <f>LN(B198/B197)</f>
        <v/>
      </c>
      <c r="D198" s="4">
        <f>SMALL(C$3:C$255, ROW()-2)</f>
        <v/>
      </c>
    </row>
    <row r="199">
      <c r="A199" t="inlineStr">
        <is>
          <t>2008-10-10</t>
        </is>
      </c>
      <c r="B199" s="3" t="n">
        <v>2.8125</v>
      </c>
      <c r="C199" s="4">
        <f>LN(B199/B198)</f>
        <v/>
      </c>
      <c r="D199" s="4">
        <f>SMALL(C$3:C$255, ROW()-2)</f>
        <v/>
      </c>
    </row>
    <row r="200">
      <c r="A200" t="inlineStr">
        <is>
          <t>2008-10-13</t>
        </is>
      </c>
      <c r="B200" s="3" t="n">
        <v>3.101000070571899</v>
      </c>
      <c r="C200" s="4">
        <f>LN(B200/B199)</f>
        <v/>
      </c>
      <c r="D200" s="4">
        <f>SMALL(C$3:C$255, ROW()-2)</f>
        <v/>
      </c>
    </row>
    <row r="201">
      <c r="A201" t="inlineStr">
        <is>
          <t>2008-10-14</t>
        </is>
      </c>
      <c r="B201" s="3" t="n">
        <v>2.792999982833862</v>
      </c>
      <c r="C201" s="4">
        <f>LN(B201/B200)</f>
        <v/>
      </c>
      <c r="D201" s="4">
        <f>SMALL(C$3:C$255, ROW()-2)</f>
        <v/>
      </c>
    </row>
    <row r="202">
      <c r="A202" t="inlineStr">
        <is>
          <t>2008-10-15</t>
        </is>
      </c>
      <c r="B202" s="3" t="n">
        <v>2.436000108718872</v>
      </c>
      <c r="C202" s="4">
        <f>LN(B202/B201)</f>
        <v/>
      </c>
      <c r="D202" s="4">
        <f>SMALL(C$3:C$255, ROW()-2)</f>
        <v/>
      </c>
    </row>
    <row r="203">
      <c r="A203" t="inlineStr">
        <is>
          <t>2008-10-16</t>
        </is>
      </c>
      <c r="B203" s="3" t="n">
        <v>2.51449990272522</v>
      </c>
      <c r="C203" s="4">
        <f>LN(B203/B202)</f>
        <v/>
      </c>
      <c r="D203" s="4">
        <f>SMALL(C$3:C$255, ROW()-2)</f>
        <v/>
      </c>
    </row>
    <row r="204">
      <c r="A204" t="inlineStr">
        <is>
          <t>2008-10-17</t>
        </is>
      </c>
      <c r="B204" s="3" t="n">
        <v>2.532500028610229</v>
      </c>
      <c r="C204" s="4">
        <f>LN(B204/B203)</f>
        <v/>
      </c>
      <c r="D204" s="4">
        <f>SMALL(C$3:C$255, ROW()-2)</f>
        <v/>
      </c>
    </row>
    <row r="205">
      <c r="A205" t="inlineStr">
        <is>
          <t>2008-10-20</t>
        </is>
      </c>
      <c r="B205" s="3" t="n">
        <v>2.648499965667725</v>
      </c>
      <c r="C205" s="4">
        <f>LN(B205/B204)</f>
        <v/>
      </c>
      <c r="D205" s="4">
        <f>SMALL(C$3:C$255, ROW()-2)</f>
        <v/>
      </c>
    </row>
    <row r="206">
      <c r="A206" t="inlineStr">
        <is>
          <t>2008-10-21</t>
        </is>
      </c>
      <c r="B206" s="3" t="n">
        <v>2.511499881744385</v>
      </c>
      <c r="C206" s="4">
        <f>LN(B206/B205)</f>
        <v/>
      </c>
      <c r="D206" s="4">
        <f>SMALL(C$3:C$255, ROW()-2)</f>
        <v/>
      </c>
    </row>
    <row r="207">
      <c r="A207" t="inlineStr">
        <is>
          <t>2008-10-22</t>
        </is>
      </c>
      <c r="B207" s="3" t="n">
        <v>2.499500036239624</v>
      </c>
      <c r="C207" s="4">
        <f>LN(B207/B206)</f>
        <v/>
      </c>
      <c r="D207" s="4">
        <f>SMALL(C$3:C$255, ROW()-2)</f>
        <v/>
      </c>
    </row>
    <row r="208">
      <c r="A208" t="inlineStr">
        <is>
          <t>2008-10-23</t>
        </is>
      </c>
      <c r="B208" s="3" t="n">
        <v>2.516000032424927</v>
      </c>
      <c r="C208" s="4">
        <f>LN(B208/B207)</f>
        <v/>
      </c>
      <c r="D208" s="4">
        <f>SMALL(C$3:C$255, ROW()-2)</f>
        <v/>
      </c>
    </row>
    <row r="209">
      <c r="A209" t="inlineStr">
        <is>
          <t>2008-10-24</t>
        </is>
      </c>
      <c r="B209" s="3" t="n">
        <v>2.447999954223633</v>
      </c>
      <c r="C209" s="4">
        <f>LN(B209/B208)</f>
        <v/>
      </c>
      <c r="D209" s="4">
        <f>SMALL(C$3:C$255, ROW()-2)</f>
        <v/>
      </c>
    </row>
    <row r="210">
      <c r="A210" t="inlineStr">
        <is>
          <t>2008-10-27</t>
        </is>
      </c>
      <c r="B210" s="3" t="n">
        <v>2.479000091552734</v>
      </c>
      <c r="C210" s="4">
        <f>LN(B210/B209)</f>
        <v/>
      </c>
      <c r="D210" s="4">
        <f>SMALL(C$3:C$255, ROW()-2)</f>
        <v/>
      </c>
    </row>
    <row r="211">
      <c r="A211" t="inlineStr">
        <is>
          <t>2008-10-28</t>
        </is>
      </c>
      <c r="B211" s="3" t="n">
        <v>2.802000045776367</v>
      </c>
      <c r="C211" s="4">
        <f>LN(B211/B210)</f>
        <v/>
      </c>
      <c r="D211" s="4">
        <f>SMALL(C$3:C$255, ROW()-2)</f>
        <v/>
      </c>
    </row>
    <row r="212">
      <c r="A212" t="inlineStr">
        <is>
          <t>2008-10-29</t>
        </is>
      </c>
      <c r="B212" s="3" t="n">
        <v>2.844500064849854</v>
      </c>
      <c r="C212" s="4">
        <f>LN(B212/B211)</f>
        <v/>
      </c>
      <c r="D212" s="4">
        <f>SMALL(C$3:C$255, ROW()-2)</f>
        <v/>
      </c>
    </row>
    <row r="213">
      <c r="A213" t="inlineStr">
        <is>
          <t>2008-10-30</t>
        </is>
      </c>
      <c r="B213" s="3" t="n">
        <v>2.835500001907349</v>
      </c>
      <c r="C213" s="4">
        <f>LN(B213/B212)</f>
        <v/>
      </c>
      <c r="D213" s="4">
        <f>SMALL(C$3:C$255, ROW()-2)</f>
        <v/>
      </c>
    </row>
    <row r="214">
      <c r="A214" t="inlineStr">
        <is>
          <t>2008-10-31</t>
        </is>
      </c>
      <c r="B214" s="3" t="n">
        <v>2.861999988555908</v>
      </c>
      <c r="C214" s="4">
        <f>LN(B214/B213)</f>
        <v/>
      </c>
      <c r="D214" s="4">
        <f>SMALL(C$3:C$255, ROW()-2)</f>
        <v/>
      </c>
    </row>
    <row r="215">
      <c r="A215" t="inlineStr">
        <is>
          <t>2008-11-03</t>
        </is>
      </c>
      <c r="B215" s="3" t="n">
        <v>2.788500070571899</v>
      </c>
      <c r="C215" s="4">
        <f>LN(B215/B214)</f>
        <v/>
      </c>
      <c r="D215" s="4">
        <f>SMALL(C$3:C$255, ROW()-2)</f>
        <v/>
      </c>
    </row>
    <row r="216">
      <c r="A216" t="inlineStr">
        <is>
          <t>2008-11-04</t>
        </is>
      </c>
      <c r="B216" s="3" t="n">
        <v>2.922499895095825</v>
      </c>
      <c r="C216" s="4">
        <f>LN(B216/B215)</f>
        <v/>
      </c>
      <c r="D216" s="4">
        <f>SMALL(C$3:C$255, ROW()-2)</f>
        <v/>
      </c>
    </row>
    <row r="217">
      <c r="A217" t="inlineStr">
        <is>
          <t>2008-11-05</t>
        </is>
      </c>
      <c r="B217" s="3" t="n">
        <v>2.598999977111816</v>
      </c>
      <c r="C217" s="4">
        <f>LN(B217/B216)</f>
        <v/>
      </c>
      <c r="D217" s="4">
        <f>SMALL(C$3:C$255, ROW()-2)</f>
        <v/>
      </c>
    </row>
    <row r="218">
      <c r="A218" t="inlineStr">
        <is>
          <t>2008-11-06</t>
        </is>
      </c>
      <c r="B218" s="3" t="n">
        <v>2.361000061035156</v>
      </c>
      <c r="C218" s="4">
        <f>LN(B218/B217)</f>
        <v/>
      </c>
      <c r="D218" s="4">
        <f>SMALL(C$3:C$255, ROW()-2)</f>
        <v/>
      </c>
    </row>
    <row r="219">
      <c r="A219" t="inlineStr">
        <is>
          <t>2008-11-07</t>
        </is>
      </c>
      <c r="B219" s="3" t="n">
        <v>2.460500001907349</v>
      </c>
      <c r="C219" s="4">
        <f>LN(B219/B218)</f>
        <v/>
      </c>
      <c r="D219" s="4">
        <f>SMALL(C$3:C$255, ROW()-2)</f>
        <v/>
      </c>
    </row>
    <row r="220">
      <c r="A220" t="inlineStr">
        <is>
          <t>2008-11-10</t>
        </is>
      </c>
      <c r="B220" s="3" t="n">
        <v>2.42300009727478</v>
      </c>
      <c r="C220" s="4">
        <f>LN(B220/B219)</f>
        <v/>
      </c>
      <c r="D220" s="4">
        <f>SMALL(C$3:C$255, ROW()-2)</f>
        <v/>
      </c>
    </row>
    <row r="221">
      <c r="A221" t="inlineStr">
        <is>
          <t>2008-11-11</t>
        </is>
      </c>
      <c r="B221" s="3" t="n">
        <v>2.315000057220459</v>
      </c>
      <c r="C221" s="4">
        <f>LN(B221/B220)</f>
        <v/>
      </c>
      <c r="D221" s="4">
        <f>SMALL(C$3:C$255, ROW()-2)</f>
        <v/>
      </c>
    </row>
    <row r="222">
      <c r="A222" t="inlineStr">
        <is>
          <t>2008-11-12</t>
        </is>
      </c>
      <c r="B222" s="3" t="n">
        <v>2.078000068664551</v>
      </c>
      <c r="C222" s="4">
        <f>LN(B222/B221)</f>
        <v/>
      </c>
      <c r="D222" s="4">
        <f>SMALL(C$3:C$255, ROW()-2)</f>
        <v/>
      </c>
    </row>
    <row r="223">
      <c r="A223" t="inlineStr">
        <is>
          <t>2008-11-13</t>
        </is>
      </c>
      <c r="B223" s="3" t="n">
        <v>2.246500015258789</v>
      </c>
      <c r="C223" s="4">
        <f>LN(B223/B222)</f>
        <v/>
      </c>
      <c r="D223" s="4">
        <f>SMALL(C$3:C$255, ROW()-2)</f>
        <v/>
      </c>
    </row>
    <row r="224">
      <c r="A224" t="inlineStr">
        <is>
          <t>2008-11-14</t>
        </is>
      </c>
      <c r="B224" s="3" t="n">
        <v>2.087500095367432</v>
      </c>
      <c r="C224" s="4">
        <f>LN(B224/B223)</f>
        <v/>
      </c>
      <c r="D224" s="4">
        <f>SMALL(C$3:C$255, ROW()-2)</f>
        <v/>
      </c>
    </row>
    <row r="225">
      <c r="A225" t="inlineStr">
        <is>
          <t>2008-11-17</t>
        </is>
      </c>
      <c r="B225" s="3" t="n">
        <v>1.984500050544739</v>
      </c>
      <c r="C225" s="4">
        <f>LN(B225/B224)</f>
        <v/>
      </c>
      <c r="D225" s="4">
        <f>SMALL(C$3:C$255, ROW()-2)</f>
        <v/>
      </c>
    </row>
    <row r="226">
      <c r="A226" t="inlineStr">
        <is>
          <t>2008-11-18</t>
        </is>
      </c>
      <c r="B226" s="3" t="n">
        <v>1.922000050544739</v>
      </c>
      <c r="C226" s="4">
        <f>LN(B226/B225)</f>
        <v/>
      </c>
      <c r="D226" s="4">
        <f>SMALL(C$3:C$255, ROW()-2)</f>
        <v/>
      </c>
    </row>
    <row r="227">
      <c r="A227" t="inlineStr">
        <is>
          <t>2008-11-19</t>
        </is>
      </c>
      <c r="B227" s="3" t="n">
        <v>1.79200005531311</v>
      </c>
      <c r="C227" s="4">
        <f>LN(B227/B226)</f>
        <v/>
      </c>
      <c r="D227" s="4">
        <f>SMALL(C$3:C$255, ROW()-2)</f>
        <v/>
      </c>
    </row>
    <row r="228">
      <c r="A228" t="inlineStr">
        <is>
          <t>2008-11-20</t>
        </is>
      </c>
      <c r="B228" s="3" t="n">
        <v>1.751500010490417</v>
      </c>
      <c r="C228" s="4">
        <f>LN(B228/B227)</f>
        <v/>
      </c>
      <c r="D228" s="4">
        <f>SMALL(C$3:C$255, ROW()-2)</f>
        <v/>
      </c>
    </row>
    <row r="229">
      <c r="A229" t="inlineStr">
        <is>
          <t>2008-11-21</t>
        </is>
      </c>
      <c r="B229" s="3" t="n">
        <v>1.893499970436096</v>
      </c>
      <c r="C229" s="4">
        <f>LN(B229/B228)</f>
        <v/>
      </c>
      <c r="D229" s="4">
        <f>SMALL(C$3:C$255, ROW()-2)</f>
        <v/>
      </c>
    </row>
    <row r="230">
      <c r="A230" t="inlineStr">
        <is>
          <t>2008-11-24</t>
        </is>
      </c>
      <c r="B230" s="3" t="n">
        <v>2.125</v>
      </c>
      <c r="C230" s="4">
        <f>LN(B230/B229)</f>
        <v/>
      </c>
      <c r="D230" s="4">
        <f>SMALL(C$3:C$255, ROW()-2)</f>
        <v/>
      </c>
    </row>
    <row r="231">
      <c r="A231" t="inlineStr">
        <is>
          <t>2008-11-25</t>
        </is>
      </c>
      <c r="B231" s="3" t="n">
        <v>2.109499931335449</v>
      </c>
      <c r="C231" s="4">
        <f>LN(B231/B230)</f>
        <v/>
      </c>
      <c r="D231" s="4">
        <f>SMALL(C$3:C$255, ROW()-2)</f>
        <v/>
      </c>
    </row>
    <row r="232">
      <c r="A232" t="inlineStr">
        <is>
          <t>2008-11-26</t>
        </is>
      </c>
      <c r="B232" s="3" t="n">
        <v>2.197999954223633</v>
      </c>
      <c r="C232" s="4">
        <f>LN(B232/B231)</f>
        <v/>
      </c>
      <c r="D232" s="4">
        <f>SMALL(C$3:C$255, ROW()-2)</f>
        <v/>
      </c>
    </row>
    <row r="233">
      <c r="A233" t="inlineStr">
        <is>
          <t>2008-11-28</t>
        </is>
      </c>
      <c r="B233" s="3" t="n">
        <v>2.134999990463257</v>
      </c>
      <c r="C233" s="4">
        <f>LN(B233/B232)</f>
        <v/>
      </c>
      <c r="D233" s="4">
        <f>SMALL(C$3:C$255, ROW()-2)</f>
        <v/>
      </c>
    </row>
    <row r="234">
      <c r="A234" t="inlineStr">
        <is>
          <t>2008-12-01</t>
        </is>
      </c>
      <c r="B234" s="3" t="n">
        <v>2.023499965667725</v>
      </c>
      <c r="C234" s="4">
        <f>LN(B234/B233)</f>
        <v/>
      </c>
      <c r="D234" s="4">
        <f>SMALL(C$3:C$255, ROW()-2)</f>
        <v/>
      </c>
    </row>
    <row r="235">
      <c r="A235" t="inlineStr">
        <is>
          <t>2008-12-02</t>
        </is>
      </c>
      <c r="B235" s="3" t="n">
        <v>2.059499979019165</v>
      </c>
      <c r="C235" s="4">
        <f>LN(B235/B234)</f>
        <v/>
      </c>
      <c r="D235" s="4">
        <f>SMALL(C$3:C$255, ROW()-2)</f>
        <v/>
      </c>
    </row>
    <row r="236">
      <c r="A236" t="inlineStr">
        <is>
          <t>2008-12-03</t>
        </is>
      </c>
      <c r="B236" s="3" t="n">
        <v>2.260499954223633</v>
      </c>
      <c r="C236" s="4">
        <f>LN(B236/B235)</f>
        <v/>
      </c>
      <c r="D236" s="4">
        <f>SMALL(C$3:C$255, ROW()-2)</f>
        <v/>
      </c>
    </row>
    <row r="237">
      <c r="A237" t="inlineStr">
        <is>
          <t>2008-12-04</t>
        </is>
      </c>
      <c r="B237" s="3" t="n">
        <v>2.365999937057495</v>
      </c>
      <c r="C237" s="4">
        <f>LN(B237/B236)</f>
        <v/>
      </c>
      <c r="D237" s="4">
        <f>SMALL(C$3:C$255, ROW()-2)</f>
        <v/>
      </c>
    </row>
    <row r="238">
      <c r="A238" t="inlineStr">
        <is>
          <t>2008-12-05</t>
        </is>
      </c>
      <c r="B238" s="3" t="n">
        <v>2.413000106811523</v>
      </c>
      <c r="C238" s="4">
        <f>LN(B238/B237)</f>
        <v/>
      </c>
      <c r="D238" s="4">
        <f>SMALL(C$3:C$255, ROW()-2)</f>
        <v/>
      </c>
    </row>
    <row r="239">
      <c r="A239" t="inlineStr">
        <is>
          <t>2008-12-08</t>
        </is>
      </c>
      <c r="B239" s="3" t="n">
        <v>2.570499897003174</v>
      </c>
      <c r="C239" s="4">
        <f>LN(B239/B238)</f>
        <v/>
      </c>
      <c r="D239" s="4">
        <f>SMALL(C$3:C$255, ROW()-2)</f>
        <v/>
      </c>
    </row>
    <row r="240">
      <c r="A240" t="inlineStr">
        <is>
          <t>2008-12-09</t>
        </is>
      </c>
      <c r="B240" s="3" t="n">
        <v>2.5625</v>
      </c>
      <c r="C240" s="4">
        <f>LN(B240/B239)</f>
        <v/>
      </c>
      <c r="D240" s="4">
        <f>SMALL(C$3:C$255, ROW()-2)</f>
        <v/>
      </c>
    </row>
    <row r="241">
      <c r="A241" t="inlineStr">
        <is>
          <t>2008-12-10</t>
        </is>
      </c>
      <c r="B241" s="3" t="n">
        <v>2.484999895095825</v>
      </c>
      <c r="C241" s="4">
        <f>LN(B241/B240)</f>
        <v/>
      </c>
      <c r="D241" s="4">
        <f>SMALL(C$3:C$255, ROW()-2)</f>
        <v/>
      </c>
    </row>
    <row r="242">
      <c r="A242" t="inlineStr">
        <is>
          <t>2008-12-11</t>
        </is>
      </c>
      <c r="B242" s="3" t="n">
        <v>2.412499904632568</v>
      </c>
      <c r="C242" s="4">
        <f>LN(B242/B241)</f>
        <v/>
      </c>
      <c r="D242" s="4">
        <f>SMALL(C$3:C$255, ROW()-2)</f>
        <v/>
      </c>
    </row>
    <row r="243">
      <c r="A243" t="inlineStr">
        <is>
          <t>2008-12-12</t>
        </is>
      </c>
      <c r="B243" s="3" t="n">
        <v>2.5625</v>
      </c>
      <c r="C243" s="4">
        <f>LN(B243/B242)</f>
        <v/>
      </c>
      <c r="D243" s="4">
        <f>SMALL(C$3:C$255, ROW()-2)</f>
        <v/>
      </c>
    </row>
    <row r="244">
      <c r="A244" t="inlineStr">
        <is>
          <t>2008-12-15</t>
        </is>
      </c>
      <c r="B244" s="3" t="n">
        <v>2.442500114440918</v>
      </c>
      <c r="C244" s="4">
        <f>LN(B244/B243)</f>
        <v/>
      </c>
      <c r="D244" s="4">
        <f>SMALL(C$3:C$255, ROW()-2)</f>
        <v/>
      </c>
    </row>
    <row r="245">
      <c r="A245" t="inlineStr">
        <is>
          <t>2008-12-16</t>
        </is>
      </c>
      <c r="B245" s="3" t="n">
        <v>2.631500005722046</v>
      </c>
      <c r="C245" s="4">
        <f>LN(B245/B244)</f>
        <v/>
      </c>
      <c r="D245" s="4">
        <f>SMALL(C$3:C$255, ROW()-2)</f>
        <v/>
      </c>
    </row>
    <row r="246">
      <c r="A246" t="inlineStr">
        <is>
          <t>2008-12-17</t>
        </is>
      </c>
      <c r="B246" s="3" t="n">
        <v>2.658999919891357</v>
      </c>
      <c r="C246" s="4">
        <f>LN(B246/B245)</f>
        <v/>
      </c>
      <c r="D246" s="4">
        <f>SMALL(C$3:C$255, ROW()-2)</f>
        <v/>
      </c>
    </row>
    <row r="247">
      <c r="A247" t="inlineStr">
        <is>
          <t>2008-12-18</t>
        </is>
      </c>
      <c r="B247" s="3" t="n">
        <v>2.604000091552734</v>
      </c>
      <c r="C247" s="4">
        <f>LN(B247/B246)</f>
        <v/>
      </c>
      <c r="D247" s="4">
        <f>SMALL(C$3:C$255, ROW()-2)</f>
        <v/>
      </c>
    </row>
    <row r="248">
      <c r="A248" t="inlineStr">
        <is>
          <t>2008-12-19</t>
        </is>
      </c>
      <c r="B248" s="3" t="n">
        <v>2.578000068664551</v>
      </c>
      <c r="C248" s="4">
        <f>LN(B248/B247)</f>
        <v/>
      </c>
      <c r="D248" s="4">
        <f>SMALL(C$3:C$255, ROW()-2)</f>
        <v/>
      </c>
    </row>
    <row r="249">
      <c r="A249" t="inlineStr">
        <is>
          <t>2008-12-22</t>
        </is>
      </c>
      <c r="B249" s="3" t="n">
        <v>2.492000102996826</v>
      </c>
      <c r="C249" s="4">
        <f>LN(B249/B248)</f>
        <v/>
      </c>
      <c r="D249" s="4">
        <f>SMALL(C$3:C$255, ROW()-2)</f>
        <v/>
      </c>
    </row>
    <row r="250">
      <c r="A250" t="inlineStr">
        <is>
          <t>2008-12-23</t>
        </is>
      </c>
      <c r="B250" s="3" t="n">
        <v>2.553999900817871</v>
      </c>
      <c r="C250" s="4">
        <f>LN(B250/B249)</f>
        <v/>
      </c>
      <c r="D250" s="4">
        <f>SMALL(C$3:C$255, ROW()-2)</f>
        <v/>
      </c>
    </row>
    <row r="251">
      <c r="A251" t="inlineStr">
        <is>
          <t>2008-12-24</t>
        </is>
      </c>
      <c r="B251" s="3" t="n">
        <v>2.572000026702881</v>
      </c>
      <c r="C251" s="4">
        <f>LN(B251/B250)</f>
        <v/>
      </c>
      <c r="D251" s="4">
        <f>SMALL(C$3:C$255, ROW()-2)</f>
        <v/>
      </c>
    </row>
    <row r="252">
      <c r="A252" t="inlineStr">
        <is>
          <t>2008-12-26</t>
        </is>
      </c>
      <c r="B252" s="3" t="n">
        <v>2.58899998664856</v>
      </c>
      <c r="C252" s="4">
        <f>LN(B252/B251)</f>
        <v/>
      </c>
      <c r="D252" s="4">
        <f>SMALL(C$3:C$255, ROW()-2)</f>
        <v/>
      </c>
    </row>
    <row r="253">
      <c r="A253" t="inlineStr">
        <is>
          <t>2008-12-29</t>
        </is>
      </c>
      <c r="B253" s="3" t="n">
        <v>2.470000028610229</v>
      </c>
      <c r="C253" s="4">
        <f>LN(B253/B252)</f>
        <v/>
      </c>
      <c r="D253" s="4">
        <f>SMALL(C$3:C$255, ROW()-2)</f>
        <v/>
      </c>
    </row>
    <row r="254">
      <c r="A254" t="inlineStr">
        <is>
          <t>2008-12-30</t>
        </is>
      </c>
      <c r="B254" s="3" t="n">
        <v>2.538000106811523</v>
      </c>
      <c r="C254" s="4">
        <f>LN(B254/B253)</f>
        <v/>
      </c>
      <c r="D254" s="4">
        <f>SMALL(C$3:C$255, ROW()-2)</f>
        <v/>
      </c>
    </row>
    <row r="255">
      <c r="A255" t="inlineStr">
        <is>
          <t>2008-12-31</t>
        </is>
      </c>
      <c r="B255" s="3" t="n">
        <v>2.563999891281128</v>
      </c>
      <c r="C255" s="4">
        <f>LN(B255/B254)</f>
        <v/>
      </c>
      <c r="D255" s="4">
        <f>SMALL(C$3:C$255, ROW()-2)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2026-04-06T22:02:28Z</dcterms:created>
  <dcterms:modified xsi:type="dcterms:W3CDTF">2026-04-06T22:02:28Z</dcterms:modified>
</cp:coreProperties>
</file>